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Quote Calculator" sheetId="1" state="visible" r:id="rId3"/>
    <sheet name="📊 Historical Order Analysis" sheetId="2" state="visible" r:id="rId4"/>
    <sheet name="⚙️ 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<sst xmlns="http://schemas.openxmlformats.org/spreadsheetml/2006/main" count="2025" uniqueCount="731">
  <si>
    <t xml:space="preserve">Corrugated Box Quotation Calculator</t>
  </si>
  <si>
    <t xml:space="preserve">Enter order parameters to auto-calculate suggested pricing  |  Yellow cells are editable</t>
  </si>
  <si>
    <t xml:space="preserve">Order Parameters</t>
  </si>
  <si>
    <t xml:space="preserve">Calculation Results</t>
  </si>
  <si>
    <t xml:space="preserve">Outer Length (mm)</t>
  </si>
  <si>
    <t xml:space="preserve">Unfolded Area (m²/unit)</t>
  </si>
  <si>
    <t xml:space="preserve">Outer Width (mm)</t>
  </si>
  <si>
    <t xml:space="preserve">Material Cost/unit (¥)</t>
  </si>
  <si>
    <t xml:space="preserve">Outer Height (mm)</t>
  </si>
  <si>
    <t xml:space="preserve">Plate Fee Amortized/unit (¥)</t>
  </si>
  <si>
    <t xml:space="preserve">Order Qty (units)</t>
  </si>
  <si>
    <t xml:space="preserve">Freight Cost/unit (¥)</t>
  </si>
  <si>
    <t xml:space="preserve">Delivery Distance (km)</t>
  </si>
  <si>
    <t xml:space="preserve">Total Cost/unit (¥)</t>
  </si>
  <si>
    <t xml:space="preserve">Plate Fee (¥/run)</t>
  </si>
  <si>
    <t xml:space="preserve">Charge Plate Fee? (1=Yes / 0=No)</t>
  </si>
  <si>
    <t xml:space="preserve">▶ Suggested Price/unit (¥)</t>
  </si>
  <si>
    <t xml:space="preserve">Profit Margin (auto by qty)</t>
  </si>
  <si>
    <t xml:space="preserve">▶ Suggested Price/100 units</t>
  </si>
  <si>
    <t xml:space="preserve">Paperboard Grade</t>
  </si>
  <si>
    <t xml:space="preserve">Imported Face + Wood Pulp Base</t>
  </si>
  <si>
    <t xml:space="preserve">▶ Total Order Price (¥)</t>
  </si>
  <si>
    <t xml:space="preserve">↑ Options: Wood Pulp/White Kraft(3.26) | Domestic Kraft(4.13) | Imported Face+Wood Pulp Base(4.58) | Imported Face+Imported Base(5.23) | Quote Required</t>
  </si>
  <si>
    <t xml:space="preserve">▶ Current Qty Band</t>
  </si>
  <si>
    <t xml:space="preserve">Historical Order Cost Analysis (Last 3 Months, 327 Orders Total)</t>
  </si>
  <si>
    <t xml:space="preserve">Order No.</t>
  </si>
  <si>
    <t xml:space="preserve">Customer</t>
  </si>
  <si>
    <t xml:space="preserve">Order Date</t>
  </si>
  <si>
    <t xml:space="preserve">Box Spec (mm)</t>
  </si>
  <si>
    <t xml:space="preserve">Raw Material Code</t>
  </si>
  <si>
    <t xml:space="preserve">Board Grade</t>
  </si>
  <si>
    <t xml:space="preserve">Board Price
(¥/m²)</t>
  </si>
  <si>
    <t xml:space="preserve">Order Qty
(units)</t>
  </si>
  <si>
    <t xml:space="preserve">Area/Unit
(m²)</t>
  </si>
  <si>
    <t xml:space="preserve">Material Cost/Unit
(¥)</t>
  </si>
  <si>
    <t xml:space="preserve">Freight/Unit
(¥)</t>
  </si>
  <si>
    <t xml:space="preserve">Theory Price/Unit
(¥, +20%)</t>
  </si>
  <si>
    <t xml:space="preserve">Notes</t>
  </si>
  <si>
    <t xml:space="preserve">XS2025011500002</t>
  </si>
  <si>
    <t xml:space="preserve">奉航</t>
  </si>
  <si>
    <t xml:space="preserve">2025-01-15</t>
  </si>
  <si>
    <t xml:space="preserve">505*505*130</t>
  </si>
  <si>
    <t xml:space="preserve">160.110B.110.130C.130--BC</t>
  </si>
  <si>
    <t xml:space="preserve">Wood Pulp/White Kraft</t>
  </si>
  <si>
    <t xml:space="preserve">XS2025071000001</t>
  </si>
  <si>
    <t xml:space="preserve">中星测控</t>
  </si>
  <si>
    <t xml:space="preserve">2025-07-10</t>
  </si>
  <si>
    <t xml:space="preserve">130*30*120</t>
  </si>
  <si>
    <r>
      <rPr>
        <sz val="9"/>
        <color rgb="FF000000"/>
        <rFont val="Noto Sans CJK SC"/>
        <family val="2"/>
      </rPr>
      <t xml:space="preserve">白牛皮</t>
    </r>
    <r>
      <rPr>
        <sz val="9"/>
        <color rgb="FF000000"/>
        <rFont val="Arial"/>
        <family val="0"/>
        <charset val="1"/>
      </rPr>
      <t xml:space="preserve">170.120E.140</t>
    </r>
    <r>
      <rPr>
        <sz val="9"/>
        <color rgb="FF000000"/>
        <rFont val="Noto Sans CJK SC"/>
        <family val="2"/>
      </rPr>
      <t xml:space="preserve">白木桨</t>
    </r>
    <r>
      <rPr>
        <sz val="9"/>
        <color rgb="FF000000"/>
        <rFont val="Arial"/>
        <family val="0"/>
        <charset val="1"/>
      </rPr>
      <t xml:space="preserve">--E</t>
    </r>
  </si>
  <si>
    <t xml:space="preserve">Quote Required</t>
  </si>
  <si>
    <t xml:space="preserve">Missing dimension data</t>
  </si>
  <si>
    <t xml:space="preserve">XS2025072300002</t>
  </si>
  <si>
    <t xml:space="preserve">宏星电子浆料</t>
  </si>
  <si>
    <t xml:space="preserve">2025-07-23</t>
  </si>
  <si>
    <t xml:space="preserve">520*330*180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</si>
  <si>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170.130B.110.150C.160</t>
    </r>
    <r>
      <rPr>
        <sz val="9"/>
        <color rgb="FF000000"/>
        <rFont val="Noto Sans CJK SC"/>
        <family val="2"/>
      </rPr>
      <t xml:space="preserve">木浆</t>
    </r>
  </si>
  <si>
    <t xml:space="preserve">Domestic Kraft</t>
  </si>
  <si>
    <t xml:space="preserve">XS2025081100004</t>
  </si>
  <si>
    <t xml:space="preserve">2025-08-11</t>
  </si>
  <si>
    <t xml:space="preserve">95*55*38</t>
  </si>
  <si>
    <r>
      <rPr>
        <sz val="9"/>
        <color rgb="FF000000"/>
        <rFont val="Noto Sans CJK SC"/>
        <family val="2"/>
      </rPr>
      <t xml:space="preserve">白牛皮</t>
    </r>
    <r>
      <rPr>
        <sz val="9"/>
        <color rgb="FF000000"/>
        <rFont val="Arial"/>
        <family val="0"/>
        <charset val="1"/>
      </rPr>
      <t xml:space="preserve">200.100E.140</t>
    </r>
    <r>
      <rPr>
        <sz val="9"/>
        <color rgb="FF000000"/>
        <rFont val="Noto Sans CJK SC"/>
        <family val="2"/>
      </rPr>
      <t xml:space="preserve">白木桨</t>
    </r>
    <r>
      <rPr>
        <sz val="9"/>
        <color rgb="FF000000"/>
        <rFont val="Arial"/>
        <family val="0"/>
        <charset val="1"/>
      </rPr>
      <t xml:space="preserve">--E</t>
    </r>
  </si>
  <si>
    <t xml:space="preserve">XS2025070200005</t>
  </si>
  <si>
    <t xml:space="preserve">2025-06-10</t>
  </si>
  <si>
    <t xml:space="preserve">1110*1125*150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</si>
  <si>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200.150B.110.150C.200</t>
    </r>
    <r>
      <rPr>
        <sz val="9"/>
        <color rgb="FF000000"/>
        <rFont val="Noto Sans CJK SC"/>
        <family val="2"/>
      </rPr>
      <t xml:space="preserve">木</t>
    </r>
  </si>
  <si>
    <t xml:space="preserve">Imported Face+Wood Pulp Base</t>
  </si>
  <si>
    <t xml:space="preserve">XS2025081900006</t>
  </si>
  <si>
    <t xml:space="preserve">西安晨创电子科技有限公司</t>
  </si>
  <si>
    <t xml:space="preserve">2025-08-19</t>
  </si>
  <si>
    <t xml:space="preserve">325*255*70</t>
  </si>
  <si>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200.130B.</t>
    </r>
    <r>
      <rPr>
        <sz val="9"/>
        <color rgb="FF000000"/>
        <rFont val="Noto Sans CJK SC"/>
        <family val="2"/>
      </rPr>
      <t xml:space="preserve">木</t>
    </r>
    <r>
      <rPr>
        <sz val="9"/>
        <color rgb="FF000000"/>
        <rFont val="Arial"/>
        <family val="0"/>
        <charset val="1"/>
      </rPr>
      <t xml:space="preserve">200</t>
    </r>
  </si>
  <si>
    <t xml:space="preserve">XS2025082600005</t>
  </si>
  <si>
    <t xml:space="preserve">正合芯科（伽蓝致远）</t>
  </si>
  <si>
    <t xml:space="preserve">2025-08-26</t>
  </si>
  <si>
    <t xml:space="preserve">209*177*50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</si>
  <si>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160.130E.160</t>
    </r>
    <r>
      <rPr>
        <sz val="9"/>
        <color rgb="FF000000"/>
        <rFont val="Noto Sans CJK SC"/>
        <family val="2"/>
      </rPr>
      <t xml:space="preserve">木</t>
    </r>
  </si>
  <si>
    <t xml:space="preserve">XS2025082800003</t>
  </si>
  <si>
    <t xml:space="preserve">云维智联</t>
  </si>
  <si>
    <t xml:space="preserve">2025-08-28</t>
  </si>
  <si>
    <t xml:space="preserve">260*195*80</t>
  </si>
  <si>
    <r>
      <rPr>
        <sz val="9"/>
        <color rgb="FF000000"/>
        <rFont val="Arial"/>
        <family val="0"/>
        <charset val="1"/>
      </rPr>
      <t xml:space="preserve">157g</t>
    </r>
    <r>
      <rPr>
        <sz val="9"/>
        <color rgb="FF000000"/>
        <rFont val="Noto Sans CJK SC"/>
        <family val="2"/>
      </rPr>
      <t xml:space="preserve">铜板纸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裱箱板</t>
    </r>
    <r>
      <rPr>
        <sz val="9"/>
        <color rgb="FF000000"/>
        <rFont val="Arial"/>
        <family val="0"/>
        <charset val="1"/>
      </rPr>
      <t xml:space="preserve">(2.5mm</t>
    </r>
    <r>
      <rPr>
        <sz val="9"/>
        <color rgb="FF000000"/>
        <rFont val="Noto Sans CJK SC"/>
        <family val="2"/>
      </rPr>
      <t xml:space="preserve">）四色印刷覆亚膜</t>
    </r>
  </si>
  <si>
    <t xml:space="preserve">Custom quote required</t>
  </si>
  <si>
    <t xml:space="preserve">XS2025083000002</t>
  </si>
  <si>
    <t xml:space="preserve">白鹿</t>
  </si>
  <si>
    <t xml:space="preserve">2025-08-30</t>
  </si>
  <si>
    <t xml:space="preserve">582*367</t>
  </si>
  <si>
    <t xml:space="preserve">130.110.130</t>
  </si>
  <si>
    <t xml:space="preserve">XS2025083000001</t>
  </si>
  <si>
    <t xml:space="preserve">600*385*355</t>
  </si>
  <si>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200.110.110.130. 160</t>
    </r>
  </si>
  <si>
    <t xml:space="preserve">XS2025090100005</t>
  </si>
  <si>
    <t xml:space="preserve">中航富士达</t>
  </si>
  <si>
    <t xml:space="preserve">2025-09-01</t>
  </si>
  <si>
    <t xml:space="preserve">461*443.5*85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</si>
  <si>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200.130B.170</t>
    </r>
    <r>
      <rPr>
        <sz val="9"/>
        <color rgb="FF000000"/>
        <rFont val="Noto Sans CJK SC"/>
        <family val="2"/>
      </rPr>
      <t xml:space="preserve">国牛</t>
    </r>
  </si>
  <si>
    <t xml:space="preserve">XS2025090400009</t>
  </si>
  <si>
    <t xml:space="preserve">美安智能科技有限公司</t>
  </si>
  <si>
    <t xml:space="preserve">2025-09-04</t>
  </si>
  <si>
    <t xml:space="preserve">663*593*1828</t>
  </si>
  <si>
    <r>
      <rPr>
        <sz val="9"/>
        <color rgb="FF000000"/>
        <rFont val="Noto Sans CJK SC"/>
        <family val="2"/>
      </rPr>
      <t xml:space="preserve">美卡</t>
    </r>
    <r>
      <rPr>
        <sz val="9"/>
        <color rgb="FF000000"/>
        <rFont val="Arial"/>
        <family val="0"/>
        <charset val="1"/>
      </rPr>
      <t xml:space="preserve">250.170A.140.170A.250</t>
    </r>
    <r>
      <rPr>
        <sz val="9"/>
        <color rgb="FF000000"/>
        <rFont val="Noto Sans CJK SC"/>
        <family val="2"/>
      </rPr>
      <t xml:space="preserve">美卡</t>
    </r>
  </si>
  <si>
    <t xml:space="preserve">XS2025090500005</t>
  </si>
  <si>
    <r>
      <rPr>
        <sz val="9"/>
        <color rgb="FF000000"/>
        <rFont val="Noto Sans CJK SC"/>
        <family val="2"/>
      </rPr>
      <t xml:space="preserve">铂斯方得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西安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电子有限公司</t>
    </r>
  </si>
  <si>
    <t xml:space="preserve">2025-09-05</t>
  </si>
  <si>
    <t xml:space="preserve">68*44*102</t>
  </si>
  <si>
    <r>
      <rPr>
        <sz val="9"/>
        <color rgb="FF000000"/>
        <rFont val="Arial"/>
        <family val="0"/>
        <charset val="1"/>
      </rPr>
      <t xml:space="preserve">400</t>
    </r>
    <r>
      <rPr>
        <sz val="9"/>
        <color rgb="FF000000"/>
        <rFont val="Noto Sans CJK SC"/>
        <family val="2"/>
      </rPr>
      <t xml:space="preserve">克金蝶蓝白卡</t>
    </r>
  </si>
  <si>
    <t xml:space="preserve">XS2025090800005</t>
  </si>
  <si>
    <t xml:space="preserve">2025-09-08</t>
  </si>
  <si>
    <t xml:space="preserve">260*120*53</t>
  </si>
  <si>
    <r>
      <rPr>
        <sz val="9"/>
        <color rgb="FF000000"/>
        <rFont val="Noto Sans CJK SC"/>
        <family val="2"/>
      </rPr>
      <t xml:space="preserve">江龙</t>
    </r>
    <r>
      <rPr>
        <sz val="9"/>
        <color rgb="FF000000"/>
        <rFont val="Arial"/>
        <family val="0"/>
        <charset val="1"/>
      </rPr>
      <t xml:space="preserve">B250</t>
    </r>
    <r>
      <rPr>
        <sz val="9"/>
        <color rgb="FF000000"/>
        <rFont val="Noto Sans CJK SC"/>
        <family val="2"/>
      </rPr>
      <t xml:space="preserve">克</t>
    </r>
    <r>
      <rPr>
        <sz val="9"/>
        <color rgb="FF000000"/>
        <rFont val="Arial"/>
        <family val="0"/>
        <charset val="1"/>
      </rPr>
      <t xml:space="preserve">+130E+160</t>
    </r>
    <r>
      <rPr>
        <sz val="9"/>
        <color rgb="FF000000"/>
        <rFont val="Noto Sans CJK SC"/>
        <family val="2"/>
      </rPr>
      <t xml:space="preserve">木</t>
    </r>
  </si>
  <si>
    <t xml:space="preserve">XS2025090800004</t>
  </si>
  <si>
    <t xml:space="preserve">755.5*117</t>
  </si>
  <si>
    <r>
      <rPr>
        <sz val="9"/>
        <color rgb="FF000000"/>
        <rFont val="Noto Sans CJK SC"/>
        <family val="2"/>
      </rPr>
      <t xml:space="preserve">江龙</t>
    </r>
    <r>
      <rPr>
        <sz val="9"/>
        <color rgb="FF000000"/>
        <rFont val="Arial"/>
        <family val="0"/>
        <charset val="1"/>
      </rPr>
      <t xml:space="preserve">B250</t>
    </r>
    <r>
      <rPr>
        <sz val="9"/>
        <color rgb="FF000000"/>
        <rFont val="Noto Sans CJK SC"/>
        <family val="2"/>
      </rPr>
      <t xml:space="preserve">克</t>
    </r>
    <r>
      <rPr>
        <sz val="9"/>
        <color rgb="FF000000"/>
        <rFont val="Arial"/>
        <family val="0"/>
        <charset val="1"/>
      </rPr>
      <t xml:space="preserve">+130B+160</t>
    </r>
    <r>
      <rPr>
        <sz val="9"/>
        <color rgb="FF000000"/>
        <rFont val="Noto Sans CJK SC"/>
        <family val="2"/>
      </rPr>
      <t xml:space="preserve">木</t>
    </r>
  </si>
  <si>
    <t xml:space="preserve">XS2025090900003</t>
  </si>
  <si>
    <t xml:space="preserve">2025-09-09</t>
  </si>
  <si>
    <t xml:space="preserve">440*235*400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</si>
  <si>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200.130B.110.130C.</t>
    </r>
    <r>
      <rPr>
        <sz val="9"/>
        <color rgb="FF000000"/>
        <rFont val="Noto Sans CJK SC"/>
        <family val="2"/>
      </rPr>
      <t xml:space="preserve">国</t>
    </r>
    <r>
      <rPr>
        <sz val="9"/>
        <color rgb="FF000000"/>
        <rFont val="Arial"/>
        <family val="0"/>
        <charset val="1"/>
      </rPr>
      <t xml:space="preserve">170</t>
    </r>
  </si>
  <si>
    <t xml:space="preserve">XS2025090900002</t>
  </si>
  <si>
    <t xml:space="preserve">460*320*240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</si>
  <si>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200.130B.110.150C.</t>
    </r>
    <r>
      <rPr>
        <sz val="9"/>
        <color rgb="FF000000"/>
        <rFont val="Noto Sans CJK SC"/>
        <family val="2"/>
      </rPr>
      <t xml:space="preserve">国</t>
    </r>
    <r>
      <rPr>
        <sz val="9"/>
        <color rgb="FF000000"/>
        <rFont val="Arial"/>
        <family val="0"/>
        <charset val="1"/>
      </rPr>
      <t xml:space="preserve">170</t>
    </r>
  </si>
  <si>
    <t xml:space="preserve">XS2025090900001</t>
  </si>
  <si>
    <t xml:space="preserve">300*215*220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</si>
  <si>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200.110B.170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--B</t>
    </r>
  </si>
  <si>
    <t xml:space="preserve">XS2025082100011</t>
  </si>
  <si>
    <t xml:space="preserve">瑞新康达</t>
  </si>
  <si>
    <t xml:space="preserve">2025-08-21</t>
  </si>
  <si>
    <t xml:space="preserve">355*270*45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</si>
  <si>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170.110B.170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--B</t>
    </r>
  </si>
  <si>
    <t xml:space="preserve">XS2025091100001</t>
  </si>
  <si>
    <t xml:space="preserve">2025-09-11</t>
  </si>
  <si>
    <t xml:space="preserve">375*375*335</t>
  </si>
  <si>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200.130.110.130.</t>
    </r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</t>
    </r>
  </si>
  <si>
    <t xml:space="preserve">Imported Face+Imported Base</t>
  </si>
  <si>
    <t xml:space="preserve">XS2025091100002</t>
  </si>
  <si>
    <t xml:space="preserve">陕西克锐森矿业有限公司</t>
  </si>
  <si>
    <t xml:space="preserve">440*330*240</t>
  </si>
  <si>
    <r>
      <rPr>
        <sz val="9"/>
        <color rgb="FF000000"/>
        <rFont val="Arial"/>
        <family val="0"/>
        <charset val="1"/>
      </rPr>
      <t xml:space="preserve">4mm</t>
    </r>
    <r>
      <rPr>
        <sz val="9"/>
        <color rgb="FF000000"/>
        <rFont val="Noto Sans CJK SC"/>
        <family val="2"/>
      </rPr>
      <t xml:space="preserve">厚钙塑板，</t>
    </r>
    <r>
      <rPr>
        <sz val="9"/>
        <color rgb="FF000000"/>
        <rFont val="Arial"/>
        <family val="0"/>
        <charset val="1"/>
      </rPr>
      <t xml:space="preserve">800g  </t>
    </r>
    <r>
      <rPr>
        <sz val="9"/>
        <color rgb="FF000000"/>
        <rFont val="Noto Sans CJK SC"/>
        <family val="2"/>
      </rPr>
      <t xml:space="preserve">绿色</t>
    </r>
  </si>
  <si>
    <t xml:space="preserve">XS2025091100010</t>
  </si>
  <si>
    <t xml:space="preserve">康佳</t>
  </si>
  <si>
    <t xml:space="preserve">110*25*40</t>
  </si>
  <si>
    <t xml:space="preserve">XS2025091100009</t>
  </si>
  <si>
    <t xml:space="preserve">62.2*36.5*50</t>
  </si>
  <si>
    <t xml:space="preserve">XS2025091100008</t>
  </si>
  <si>
    <t xml:space="preserve">115*32*35</t>
  </si>
  <si>
    <t xml:space="preserve">XS2025091100007</t>
  </si>
  <si>
    <t xml:space="preserve">56.4*36.5*56</t>
  </si>
  <si>
    <t xml:space="preserve">XS2025091100006</t>
  </si>
  <si>
    <t xml:space="preserve">陕西三八妇乐科技股份有限公司</t>
  </si>
  <si>
    <t xml:space="preserve">560*400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</si>
  <si>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160.110B.130</t>
    </r>
    <r>
      <rPr>
        <sz val="9"/>
        <color rgb="FF000000"/>
        <rFont val="Noto Sans CJK SC"/>
        <family val="2"/>
      </rPr>
      <t xml:space="preserve">木</t>
    </r>
  </si>
  <si>
    <t xml:space="preserve">XS2025091100005</t>
  </si>
  <si>
    <t xml:space="preserve">400*60</t>
  </si>
  <si>
    <t xml:space="preserve">XS2025091100004</t>
  </si>
  <si>
    <t xml:space="preserve">560*60</t>
  </si>
  <si>
    <t xml:space="preserve">XS2025091100003</t>
  </si>
  <si>
    <t xml:space="preserve">580*430*370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</si>
  <si>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170.130B.70.150C.160</t>
    </r>
    <r>
      <rPr>
        <sz val="9"/>
        <color rgb="FF000000"/>
        <rFont val="Noto Sans CJK SC"/>
        <family val="2"/>
      </rPr>
      <t xml:space="preserve">木桨</t>
    </r>
  </si>
  <si>
    <t xml:space="preserve">XS2025091100014</t>
  </si>
  <si>
    <t xml:space="preserve">西安富士达线缆有限公司</t>
  </si>
  <si>
    <t xml:space="preserve">440*440*6</t>
  </si>
  <si>
    <t xml:space="preserve">XS2025091100013</t>
  </si>
  <si>
    <t xml:space="preserve">440*440*60</t>
  </si>
  <si>
    <t xml:space="preserve">XS2025091100016</t>
  </si>
  <si>
    <t xml:space="preserve">70*50*50</t>
  </si>
  <si>
    <t xml:space="preserve">XS2025091200001</t>
  </si>
  <si>
    <t xml:space="preserve">2025-09-12</t>
  </si>
  <si>
    <t xml:space="preserve">XS2025091200002</t>
  </si>
  <si>
    <t xml:space="preserve">中航创世</t>
  </si>
  <si>
    <t xml:space="preserve">1320*660*1170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</si>
  <si>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200.130.110.150.</t>
    </r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</t>
    </r>
  </si>
  <si>
    <t xml:space="preserve">XS2025091200006</t>
  </si>
  <si>
    <t xml:space="preserve">XS2025091200005</t>
  </si>
  <si>
    <t xml:space="preserve">XS2025091200004</t>
  </si>
  <si>
    <t xml:space="preserve">XS2025091200003</t>
  </si>
  <si>
    <t xml:space="preserve">405*315*270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</si>
  <si>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200.130.110.150.200</t>
    </r>
    <r>
      <rPr>
        <sz val="9"/>
        <color rgb="FF000000"/>
        <rFont val="Noto Sans CJK SC"/>
        <family val="2"/>
      </rPr>
      <t xml:space="preserve">木桨</t>
    </r>
  </si>
  <si>
    <t xml:space="preserve">XS2025091000013</t>
  </si>
  <si>
    <t xml:space="preserve">2025-09-10</t>
  </si>
  <si>
    <t xml:space="preserve">225*195*100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</si>
  <si>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160.130B.130</t>
    </r>
    <r>
      <rPr>
        <sz val="9"/>
        <color rgb="FF000000"/>
        <rFont val="Noto Sans CJK SC"/>
        <family val="2"/>
      </rPr>
      <t xml:space="preserve">木桨</t>
    </r>
  </si>
  <si>
    <t xml:space="preserve">XS2025091000012</t>
  </si>
  <si>
    <t xml:space="preserve">283*132*135</t>
  </si>
  <si>
    <t xml:space="preserve">XS2025091200011</t>
  </si>
  <si>
    <t xml:space="preserve">XS2025091200010</t>
  </si>
  <si>
    <t xml:space="preserve">XS2025091200009</t>
  </si>
  <si>
    <t xml:space="preserve">XS2025091200015</t>
  </si>
  <si>
    <t xml:space="preserve">西安大满制罐有限公司</t>
  </si>
  <si>
    <t xml:space="preserve">1200*1000*4</t>
  </si>
  <si>
    <t xml:space="preserve">160.130C.130</t>
  </si>
  <si>
    <t xml:space="preserve">XS2025091200014</t>
  </si>
  <si>
    <t xml:space="preserve">200*100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</si>
  <si>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130.110B.130</t>
    </r>
    <r>
      <rPr>
        <sz val="9"/>
        <color rgb="FF000000"/>
        <rFont val="Noto Sans CJK SC"/>
        <family val="2"/>
      </rPr>
      <t xml:space="preserve">木桨</t>
    </r>
  </si>
  <si>
    <t xml:space="preserve">XS2025091300003</t>
  </si>
  <si>
    <t xml:space="preserve">2025-09-13</t>
  </si>
  <si>
    <t xml:space="preserve">315*245*90</t>
  </si>
  <si>
    <t xml:space="preserve">XS2025091300002</t>
  </si>
  <si>
    <t xml:space="preserve">345*325*15</t>
  </si>
  <si>
    <t xml:space="preserve">XS2025091300001</t>
  </si>
  <si>
    <t xml:space="preserve">345*325*100</t>
  </si>
  <si>
    <t xml:space="preserve">XS2025091500005</t>
  </si>
  <si>
    <t xml:space="preserve">2025-09-15</t>
  </si>
  <si>
    <t xml:space="preserve">330*260*325</t>
  </si>
  <si>
    <t xml:space="preserve">XS2025091500004</t>
  </si>
  <si>
    <t xml:space="preserve">360*340*190</t>
  </si>
  <si>
    <t xml:space="preserve">XS2025091600004</t>
  </si>
  <si>
    <t xml:space="preserve">恒阳机械</t>
  </si>
  <si>
    <t xml:space="preserve">2025-09-16</t>
  </si>
  <si>
    <t xml:space="preserve">XS2025091600003</t>
  </si>
  <si>
    <t xml:space="preserve">300*300*20</t>
  </si>
  <si>
    <t xml:space="preserve">XS2025091600005</t>
  </si>
  <si>
    <t xml:space="preserve">450*280*190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</si>
  <si>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160.130B.70.130C.130</t>
    </r>
    <r>
      <rPr>
        <sz val="9"/>
        <color rgb="FF000000"/>
        <rFont val="Noto Sans CJK SC"/>
        <family val="2"/>
      </rPr>
      <t xml:space="preserve">木桨</t>
    </r>
  </si>
  <si>
    <t xml:space="preserve">XS2025090600003</t>
  </si>
  <si>
    <t xml:space="preserve">2025-09-06</t>
  </si>
  <si>
    <t xml:space="preserve">625*360*295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</si>
  <si>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200.130B.110.130C.200</t>
    </r>
    <r>
      <rPr>
        <sz val="9"/>
        <color rgb="FF000000"/>
        <rFont val="Noto Sans CJK SC"/>
        <family val="2"/>
      </rPr>
      <t xml:space="preserve">木桨</t>
    </r>
  </si>
  <si>
    <t xml:space="preserve">XS2025090600004</t>
  </si>
  <si>
    <t xml:space="preserve">607*342</t>
  </si>
  <si>
    <t xml:space="preserve">XS2025091600008</t>
  </si>
  <si>
    <t xml:space="preserve">海欣制药</t>
  </si>
  <si>
    <t xml:space="preserve">477*298*253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</si>
  <si>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170.130B.70.130C.170</t>
    </r>
    <r>
      <rPr>
        <sz val="9"/>
        <color rgb="FF000000"/>
        <rFont val="Noto Sans CJK SC"/>
        <family val="2"/>
      </rPr>
      <t xml:space="preserve">国牛</t>
    </r>
  </si>
  <si>
    <t xml:space="preserve">XS2025091600009</t>
  </si>
  <si>
    <t xml:space="preserve">457*278</t>
  </si>
  <si>
    <t xml:space="preserve">XS2025091600011</t>
  </si>
  <si>
    <t xml:space="preserve">德创</t>
  </si>
  <si>
    <t xml:space="preserve">550*260*265</t>
  </si>
  <si>
    <r>
      <rPr>
        <sz val="9"/>
        <color rgb="FF000000"/>
        <rFont val="Noto Sans CJK SC"/>
        <family val="2"/>
      </rPr>
      <t xml:space="preserve">国</t>
    </r>
    <r>
      <rPr>
        <sz val="9"/>
        <color rgb="FF000000"/>
        <rFont val="Arial"/>
        <family val="0"/>
        <charset val="1"/>
      </rPr>
      <t xml:space="preserve">200.130.110.150.</t>
    </r>
    <r>
      <rPr>
        <sz val="9"/>
        <color rgb="FF000000"/>
        <rFont val="Noto Sans CJK SC"/>
        <family val="2"/>
      </rPr>
      <t xml:space="preserve">木</t>
    </r>
    <r>
      <rPr>
        <sz val="9"/>
        <color rgb="FF000000"/>
        <rFont val="Arial"/>
        <family val="0"/>
        <charset val="1"/>
      </rPr>
      <t xml:space="preserve">200</t>
    </r>
  </si>
  <si>
    <t xml:space="preserve">XS2025091600010</t>
  </si>
  <si>
    <t xml:space="preserve">360*275*280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</si>
  <si>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200.130.110.150.200</t>
    </r>
    <r>
      <rPr>
        <sz val="9"/>
        <color rgb="FF000000"/>
        <rFont val="Noto Sans CJK SC"/>
        <family val="2"/>
      </rPr>
      <t xml:space="preserve">木桨</t>
    </r>
  </si>
  <si>
    <t xml:space="preserve">XS2025091700001</t>
  </si>
  <si>
    <t xml:space="preserve">陕西沣汇明阳包装材料有限公司</t>
  </si>
  <si>
    <t xml:space="preserve">2025-09-17</t>
  </si>
  <si>
    <t xml:space="preserve">620*240</t>
  </si>
  <si>
    <t xml:space="preserve">160.130.110.130.160</t>
  </si>
  <si>
    <t xml:space="preserve">XS2025091700002</t>
  </si>
  <si>
    <t xml:space="preserve">备库存</t>
  </si>
  <si>
    <t xml:space="preserve">500*400*400</t>
  </si>
  <si>
    <r>
      <rPr>
        <sz val="9"/>
        <color rgb="FF000000"/>
        <rFont val="Noto Sans CJK SC"/>
        <family val="2"/>
      </rPr>
      <t xml:space="preserve">木</t>
    </r>
    <r>
      <rPr>
        <sz val="9"/>
        <color rgb="FF000000"/>
        <rFont val="Arial"/>
        <family val="0"/>
        <charset val="1"/>
      </rPr>
      <t xml:space="preserve">160.100.60.100.160</t>
    </r>
    <r>
      <rPr>
        <sz val="9"/>
        <color rgb="FF000000"/>
        <rFont val="Noto Sans CJK SC"/>
        <family val="2"/>
      </rPr>
      <t xml:space="preserve">木</t>
    </r>
  </si>
  <si>
    <t xml:space="preserve">XS2025091700004</t>
  </si>
  <si>
    <t xml:space="preserve">517*292</t>
  </si>
  <si>
    <t xml:space="preserve">XS2025091700003</t>
  </si>
  <si>
    <t xml:space="preserve">535*310*205</t>
  </si>
  <si>
    <t xml:space="preserve">XS2025091700008</t>
  </si>
  <si>
    <t xml:space="preserve">360*360*265</t>
  </si>
  <si>
    <t xml:space="preserve">160.110B.110.130C.130</t>
  </si>
  <si>
    <t xml:space="preserve">XS2025091700007</t>
  </si>
  <si>
    <t xml:space="preserve">587*328*265</t>
  </si>
  <si>
    <t xml:space="preserve">XS2025091700006</t>
  </si>
  <si>
    <t xml:space="preserve">295*295*215</t>
  </si>
  <si>
    <t xml:space="preserve">XS2025091700005</t>
  </si>
  <si>
    <t xml:space="preserve">360*360*220</t>
  </si>
  <si>
    <t xml:space="preserve">XS2025091200008</t>
  </si>
  <si>
    <t xml:space="preserve">XS2025091200007</t>
  </si>
  <si>
    <t xml:space="preserve">XS2025091700010</t>
  </si>
  <si>
    <t xml:space="preserve">奇芯光电</t>
  </si>
  <si>
    <t xml:space="preserve">255*176*50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</si>
  <si>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200.130E.170</t>
    </r>
    <r>
      <rPr>
        <sz val="9"/>
        <color rgb="FF000000"/>
        <rFont val="Noto Sans CJK SC"/>
        <family val="2"/>
      </rPr>
      <t xml:space="preserve">国牛</t>
    </r>
  </si>
  <si>
    <t xml:space="preserve">XS2025091700009</t>
  </si>
  <si>
    <t xml:space="preserve">450*312*315</t>
  </si>
  <si>
    <t xml:space="preserve">XS2025091800002</t>
  </si>
  <si>
    <t xml:space="preserve">2025-09-18</t>
  </si>
  <si>
    <t xml:space="preserve">XS2025091800001</t>
  </si>
  <si>
    <t xml:space="preserve">356*340*75</t>
  </si>
  <si>
    <t xml:space="preserve">XS2025091800003</t>
  </si>
  <si>
    <t xml:space="preserve">世翔电子</t>
  </si>
  <si>
    <t xml:space="preserve">545*195*96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</si>
  <si>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170.130E.160</t>
    </r>
    <r>
      <rPr>
        <sz val="9"/>
        <color rgb="FF000000"/>
        <rFont val="Noto Sans CJK SC"/>
        <family val="2"/>
      </rPr>
      <t xml:space="preserve">木桨</t>
    </r>
  </si>
  <si>
    <t xml:space="preserve">XS2025091900001</t>
  </si>
  <si>
    <t xml:space="preserve">208*135*53</t>
  </si>
  <si>
    <r>
      <rPr>
        <sz val="9"/>
        <color rgb="FF000000"/>
        <rFont val="Noto Sans CJK SC"/>
        <family val="2"/>
      </rPr>
      <t xml:space="preserve">覆哑膜，凤锦</t>
    </r>
    <r>
      <rPr>
        <sz val="9"/>
        <color rgb="FF000000"/>
        <rFont val="Arial"/>
        <family val="0"/>
        <charset val="1"/>
      </rPr>
      <t xml:space="preserve">250.130E.160</t>
    </r>
    <r>
      <rPr>
        <sz val="9"/>
        <color rgb="FF000000"/>
        <rFont val="Noto Sans CJK SC"/>
        <family val="2"/>
      </rPr>
      <t xml:space="preserve">木桨</t>
    </r>
  </si>
  <si>
    <t xml:space="preserve">XS2025091900004</t>
  </si>
  <si>
    <t xml:space="preserve">115*65*115</t>
  </si>
  <si>
    <t xml:space="preserve">XS2025091900003</t>
  </si>
  <si>
    <t xml:space="preserve">92*72*93</t>
  </si>
  <si>
    <t xml:space="preserve">XS2025091900006</t>
  </si>
  <si>
    <t xml:space="preserve">天隆科技</t>
  </si>
  <si>
    <t xml:space="preserve">XS2025091900007</t>
  </si>
  <si>
    <t xml:space="preserve">科华</t>
  </si>
  <si>
    <t xml:space="preserve">XS2025092000004</t>
  </si>
  <si>
    <t xml:space="preserve">400*400*300</t>
  </si>
  <si>
    <t xml:space="preserve">XS2025092000003</t>
  </si>
  <si>
    <t xml:space="preserve">300*300*175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</si>
  <si>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200.110B.110.130C.130</t>
    </r>
  </si>
  <si>
    <t xml:space="preserve">XS2025092000002</t>
  </si>
  <si>
    <t xml:space="preserve">350*350*210</t>
  </si>
  <si>
    <t xml:space="preserve">XS2025092000001</t>
  </si>
  <si>
    <t xml:space="preserve">330*330*255</t>
  </si>
  <si>
    <t xml:space="preserve">XS2025092200001</t>
  </si>
  <si>
    <t xml:space="preserve">材聚粉优</t>
  </si>
  <si>
    <t xml:space="preserve">690*360*243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</si>
  <si>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337.170.200.170.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250</t>
    </r>
  </si>
  <si>
    <t xml:space="preserve">XS2025092200007</t>
  </si>
  <si>
    <t xml:space="preserve">495*465</t>
  </si>
  <si>
    <t xml:space="preserve">XS2025092200006</t>
  </si>
  <si>
    <t xml:space="preserve">515*485*345</t>
  </si>
  <si>
    <t xml:space="preserve">XS2025092400003</t>
  </si>
  <si>
    <t xml:space="preserve">1200*800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</si>
  <si>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160.110.110.130.130</t>
    </r>
    <r>
      <rPr>
        <sz val="9"/>
        <color rgb="FF000000"/>
        <rFont val="Noto Sans CJK SC"/>
        <family val="2"/>
      </rPr>
      <t xml:space="preserve">木桨</t>
    </r>
  </si>
  <si>
    <t xml:space="preserve">XS2025092400004</t>
  </si>
  <si>
    <t xml:space="preserve">XS2025092400009</t>
  </si>
  <si>
    <t xml:space="preserve">315*190*105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</si>
  <si>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160.130B.160</t>
    </r>
    <r>
      <rPr>
        <sz val="9"/>
        <color rgb="FF000000"/>
        <rFont val="Noto Sans CJK SC"/>
        <family val="2"/>
      </rPr>
      <t xml:space="preserve">木桨</t>
    </r>
  </si>
  <si>
    <t xml:space="preserve">XS2025092400008</t>
  </si>
  <si>
    <t xml:space="preserve">240*200*100</t>
  </si>
  <si>
    <t xml:space="preserve">XS2025092400007</t>
  </si>
  <si>
    <t xml:space="preserve">425*250*228</t>
  </si>
  <si>
    <t xml:space="preserve">XS2025092400006</t>
  </si>
  <si>
    <t xml:space="preserve">375*315*225</t>
  </si>
  <si>
    <t xml:space="preserve">XS2025092400005</t>
  </si>
  <si>
    <t xml:space="preserve">480*330*200</t>
  </si>
  <si>
    <t xml:space="preserve">XS2025091000005</t>
  </si>
  <si>
    <t xml:space="preserve">西安正大制药有限公司</t>
  </si>
  <si>
    <t xml:space="preserve">665*290*320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</si>
  <si>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200.130B.110.150C.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</t>
    </r>
  </si>
  <si>
    <t xml:space="preserve">XS2025091000006</t>
  </si>
  <si>
    <t xml:space="preserve">645*270</t>
  </si>
  <si>
    <t xml:space="preserve">XS2025092400010</t>
  </si>
  <si>
    <t xml:space="preserve">100*100*10</t>
  </si>
  <si>
    <t xml:space="preserve">XS2025092600004</t>
  </si>
  <si>
    <t xml:space="preserve">XS2025092600001</t>
  </si>
  <si>
    <t xml:space="preserve">712*292</t>
  </si>
  <si>
    <t xml:space="preserve">XS2025092600003</t>
  </si>
  <si>
    <t xml:space="preserve">XS2025092600002</t>
  </si>
  <si>
    <t xml:space="preserve">730*310*215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</si>
  <si>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200.150B.110.150C.170</t>
    </r>
    <r>
      <rPr>
        <sz val="9"/>
        <color rgb="FF000000"/>
        <rFont val="Noto Sans CJK SC"/>
        <family val="2"/>
      </rPr>
      <t xml:space="preserve">国牛</t>
    </r>
  </si>
  <si>
    <t xml:space="preserve">XS2025092600008</t>
  </si>
  <si>
    <t xml:space="preserve">315*245*20</t>
  </si>
  <si>
    <t xml:space="preserve">XS2025092600007</t>
  </si>
  <si>
    <t xml:space="preserve">XS2025092600006</t>
  </si>
  <si>
    <t xml:space="preserve">XS2025092600005</t>
  </si>
  <si>
    <t xml:space="preserve">XS2025092600010</t>
  </si>
  <si>
    <t xml:space="preserve">XS2025092600011</t>
  </si>
  <si>
    <t xml:space="preserve">XS2025092600009</t>
  </si>
  <si>
    <t xml:space="preserve">315*315*140</t>
  </si>
  <si>
    <t xml:space="preserve">XS2025092800003</t>
  </si>
  <si>
    <t xml:space="preserve">150*150*30</t>
  </si>
  <si>
    <t xml:space="preserve">XS2025092700001</t>
  </si>
  <si>
    <t xml:space="preserve">320*270*290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</si>
  <si>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200.110B.110.130C.130--BC</t>
    </r>
  </si>
  <si>
    <t xml:space="preserve">XS2025092700002</t>
  </si>
  <si>
    <t xml:space="preserve">300*250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</si>
  <si>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160.130B.110.130C.130</t>
    </r>
    <r>
      <rPr>
        <sz val="9"/>
        <color rgb="FF000000"/>
        <rFont val="Noto Sans CJK SC"/>
        <family val="2"/>
      </rPr>
      <t xml:space="preserve">木桨</t>
    </r>
  </si>
  <si>
    <t xml:space="preserve">XS2025092800001</t>
  </si>
  <si>
    <t xml:space="preserve">687*447*340</t>
  </si>
  <si>
    <t xml:space="preserve">XS2025092800002</t>
  </si>
  <si>
    <t xml:space="preserve">665*425</t>
  </si>
  <si>
    <t xml:space="preserve">XS2025092800016</t>
  </si>
  <si>
    <t xml:space="preserve">XS2025092900007</t>
  </si>
  <si>
    <t xml:space="preserve">475*470*400</t>
  </si>
  <si>
    <t xml:space="preserve">XS2025092900008</t>
  </si>
  <si>
    <t xml:space="preserve">甘鑫</t>
  </si>
  <si>
    <t xml:space="preserve">453*345*233</t>
  </si>
  <si>
    <r>
      <rPr>
        <sz val="9"/>
        <color rgb="FF000000"/>
        <rFont val="Noto Sans CJK SC"/>
        <family val="2"/>
      </rPr>
      <t xml:space="preserve">国</t>
    </r>
    <r>
      <rPr>
        <sz val="9"/>
        <color rgb="FF000000"/>
        <rFont val="Arial"/>
        <family val="0"/>
        <charset val="1"/>
      </rPr>
      <t xml:space="preserve">200.130B.70.130C.160</t>
    </r>
    <r>
      <rPr>
        <sz val="9"/>
        <color rgb="FF000000"/>
        <rFont val="Noto Sans CJK SC"/>
        <family val="2"/>
      </rPr>
      <t xml:space="preserve">木</t>
    </r>
  </si>
  <si>
    <t xml:space="preserve">XS2025093000007</t>
  </si>
  <si>
    <t xml:space="preserve">380*380*280</t>
  </si>
  <si>
    <t xml:space="preserve">XS2025093000006</t>
  </si>
  <si>
    <t xml:space="preserve">370*370*235</t>
  </si>
  <si>
    <t xml:space="preserve">XS2025092800015</t>
  </si>
  <si>
    <t xml:space="preserve">XS2025092800014</t>
  </si>
  <si>
    <t xml:space="preserve">XS2025092800013</t>
  </si>
  <si>
    <t xml:space="preserve">XS2025092800012</t>
  </si>
  <si>
    <t xml:space="preserve">XS2025093000014</t>
  </si>
  <si>
    <t xml:space="preserve">XS2025093000013</t>
  </si>
  <si>
    <t xml:space="preserve">XS2025093000012</t>
  </si>
  <si>
    <t xml:space="preserve">XS2025093000011</t>
  </si>
  <si>
    <t xml:space="preserve">XS2025093000010</t>
  </si>
  <si>
    <t xml:space="preserve">XS2025093000009</t>
  </si>
  <si>
    <t xml:space="preserve">XS2025093000008</t>
  </si>
  <si>
    <t xml:space="preserve">XS2025100900001</t>
  </si>
  <si>
    <t xml:space="preserve">45*45*700</t>
  </si>
  <si>
    <t xml:space="preserve">XS2025100900007</t>
  </si>
  <si>
    <t xml:space="preserve">427*267</t>
  </si>
  <si>
    <t xml:space="preserve">XS2025100900005</t>
  </si>
  <si>
    <t xml:space="preserve">472*382</t>
  </si>
  <si>
    <t xml:space="preserve">XS2025100900006</t>
  </si>
  <si>
    <t xml:space="preserve">445*285*315</t>
  </si>
  <si>
    <r>
      <rPr>
        <sz val="9"/>
        <color rgb="FF000000"/>
        <rFont val="Noto Sans CJK SC"/>
        <family val="2"/>
      </rPr>
      <t xml:space="preserve">木桨</t>
    </r>
    <r>
      <rPr>
        <sz val="9"/>
        <color rgb="FF000000"/>
        <rFont val="Arial"/>
        <family val="0"/>
        <charset val="1"/>
      </rPr>
      <t xml:space="preserve">160.130.110.130.160</t>
    </r>
    <r>
      <rPr>
        <sz val="9"/>
        <color rgb="FF000000"/>
        <rFont val="Noto Sans CJK SC"/>
        <family val="2"/>
      </rPr>
      <t xml:space="preserve">木桨</t>
    </r>
  </si>
  <si>
    <t xml:space="preserve">XS2025100900004</t>
  </si>
  <si>
    <t xml:space="preserve">490*400*255</t>
  </si>
  <si>
    <t xml:space="preserve">XS2025100900008</t>
  </si>
  <si>
    <t xml:space="preserve">西安华芯微半导体有限公司</t>
  </si>
  <si>
    <t xml:space="preserve">250*150*100</t>
  </si>
  <si>
    <t xml:space="preserve">XS2025101300003</t>
  </si>
  <si>
    <t xml:space="preserve">XS2025100900003</t>
  </si>
  <si>
    <t xml:space="preserve">2025-10-09</t>
  </si>
  <si>
    <t xml:space="preserve">XS2025101000010</t>
  </si>
  <si>
    <t xml:space="preserve">2025-10-10</t>
  </si>
  <si>
    <t xml:space="preserve">583*383*313</t>
  </si>
  <si>
    <t xml:space="preserve">XS2025101000008</t>
  </si>
  <si>
    <t xml:space="preserve">545*470*410</t>
  </si>
  <si>
    <t xml:space="preserve">XS2025101000006</t>
  </si>
  <si>
    <t xml:space="preserve">680*470*340</t>
  </si>
  <si>
    <t xml:space="preserve">XS2025101000012</t>
  </si>
  <si>
    <t xml:space="preserve">525*450</t>
  </si>
  <si>
    <t xml:space="preserve">XS2025101000011</t>
  </si>
  <si>
    <t xml:space="preserve">560*360</t>
  </si>
  <si>
    <t xml:space="preserve">XS2025101000007</t>
  </si>
  <si>
    <t xml:space="preserve">660*450</t>
  </si>
  <si>
    <t xml:space="preserve">XS2025101100003</t>
  </si>
  <si>
    <t xml:space="preserve">2025-10-11</t>
  </si>
  <si>
    <t xml:space="preserve">300*250*200</t>
  </si>
  <si>
    <t xml:space="preserve">XS2025101100002</t>
  </si>
  <si>
    <t xml:space="preserve">450*300*350</t>
  </si>
  <si>
    <t xml:space="preserve">XS2025101100001</t>
  </si>
  <si>
    <t xml:space="preserve">629*537*441</t>
  </si>
  <si>
    <t xml:space="preserve">XS2025101000005</t>
  </si>
  <si>
    <t xml:space="preserve">XS2025101000004</t>
  </si>
  <si>
    <t xml:space="preserve">XS2025101000003</t>
  </si>
  <si>
    <t xml:space="preserve">XS2025101000002</t>
  </si>
  <si>
    <t xml:space="preserve">XS2025093000017</t>
  </si>
  <si>
    <t xml:space="preserve">蓝晓科技</t>
  </si>
  <si>
    <t xml:space="preserve">2025-09-30</t>
  </si>
  <si>
    <t xml:space="preserve">425*315*320</t>
  </si>
  <si>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440.170.170.170.</t>
    </r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440</t>
    </r>
  </si>
  <si>
    <t xml:space="preserve">XS2025101100006</t>
  </si>
  <si>
    <t xml:space="preserve">XS2025101100005</t>
  </si>
  <si>
    <t xml:space="preserve">XS2025101100004</t>
  </si>
  <si>
    <t xml:space="preserve">XS2025101100008</t>
  </si>
  <si>
    <t xml:space="preserve">610*330*270</t>
  </si>
  <si>
    <t xml:space="preserve">XS2025101300002</t>
  </si>
  <si>
    <t xml:space="preserve">2025-10-13</t>
  </si>
  <si>
    <t xml:space="preserve">395*290*295</t>
  </si>
  <si>
    <t xml:space="preserve">XS2025101300004</t>
  </si>
  <si>
    <t xml:space="preserve">170*230*15</t>
  </si>
  <si>
    <t xml:space="preserve">XS2025101300005</t>
  </si>
  <si>
    <t xml:space="preserve">1528*968*150</t>
  </si>
  <si>
    <t xml:space="preserve">XS2025101400001</t>
  </si>
  <si>
    <t xml:space="preserve">2025-10-14</t>
  </si>
  <si>
    <t xml:space="preserve">XS2025101400002</t>
  </si>
  <si>
    <t xml:space="preserve">340*270*270</t>
  </si>
  <si>
    <t xml:space="preserve">XS2025101400005</t>
  </si>
  <si>
    <t xml:space="preserve">立明电子</t>
  </si>
  <si>
    <t xml:space="preserve">410*390*215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</si>
  <si>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200.130B.70.150C.160</t>
    </r>
    <r>
      <rPr>
        <sz val="9"/>
        <color rgb="FF000000"/>
        <rFont val="Noto Sans CJK SC"/>
        <family val="2"/>
      </rPr>
      <t xml:space="preserve">木</t>
    </r>
  </si>
  <si>
    <t xml:space="preserve">XS2025101400004</t>
  </si>
  <si>
    <t xml:space="preserve">安泰测试</t>
  </si>
  <si>
    <t xml:space="preserve">560*340*260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</si>
  <si>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200.130.110.150.170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--BC</t>
    </r>
  </si>
  <si>
    <t xml:space="preserve">XS2025101400003</t>
  </si>
  <si>
    <t xml:space="preserve">XS2025101400010</t>
  </si>
  <si>
    <t xml:space="preserve">340*340*215</t>
  </si>
  <si>
    <t xml:space="preserve">XS2025101400011</t>
  </si>
  <si>
    <t xml:space="preserve">XS2025101500005</t>
  </si>
  <si>
    <t xml:space="preserve">2025-10-15</t>
  </si>
  <si>
    <t xml:space="preserve">XS2025101500004</t>
  </si>
  <si>
    <t xml:space="preserve">XS2025101500003</t>
  </si>
  <si>
    <t xml:space="preserve">XS2025101500002</t>
  </si>
  <si>
    <t xml:space="preserve">XS2025101500006</t>
  </si>
  <si>
    <t xml:space="preserve">60*38*153</t>
  </si>
  <si>
    <t xml:space="preserve">XS2025101500014</t>
  </si>
  <si>
    <t xml:space="preserve">西安富德医疗电子有限公司</t>
  </si>
  <si>
    <t xml:space="preserve">645*410*405</t>
  </si>
  <si>
    <t xml:space="preserve">XS2025101500013</t>
  </si>
  <si>
    <t xml:space="preserve">630*390*380</t>
  </si>
  <si>
    <t xml:space="preserve">XS2025092400002</t>
  </si>
  <si>
    <t xml:space="preserve">2025-09-24</t>
  </si>
  <si>
    <t xml:space="preserve">380*320*200</t>
  </si>
  <si>
    <t xml:space="preserve">XS2025101500019</t>
  </si>
  <si>
    <t xml:space="preserve">XS2025101500018</t>
  </si>
  <si>
    <t xml:space="preserve">XS2025101500020</t>
  </si>
  <si>
    <t xml:space="preserve">XS2025101500010</t>
  </si>
  <si>
    <t xml:space="preserve">XS2025101500009</t>
  </si>
  <si>
    <t xml:space="preserve">XS2025101500008</t>
  </si>
  <si>
    <t xml:space="preserve">XS2025101500007</t>
  </si>
  <si>
    <t xml:space="preserve">XS2025101600007</t>
  </si>
  <si>
    <t xml:space="preserve">北方药业</t>
  </si>
  <si>
    <t xml:space="preserve">2025-10-16</t>
  </si>
  <si>
    <t xml:space="preserve">625*400</t>
  </si>
  <si>
    <t xml:space="preserve">XS2025101600006</t>
  </si>
  <si>
    <t xml:space="preserve">645*420*450</t>
  </si>
  <si>
    <t xml:space="preserve">XS2025101600005</t>
  </si>
  <si>
    <t xml:space="preserve">665*410</t>
  </si>
  <si>
    <t xml:space="preserve">XS2025101600004</t>
  </si>
  <si>
    <t xml:space="preserve">685*430*450</t>
  </si>
  <si>
    <t xml:space="preserve">XS2025101500012</t>
  </si>
  <si>
    <t xml:space="preserve">925*610*1015</t>
  </si>
  <si>
    <t xml:space="preserve">440.170A.170.170A.440</t>
  </si>
  <si>
    <t xml:space="preserve">XS2025101600012</t>
  </si>
  <si>
    <t xml:space="preserve">秦阳电气</t>
  </si>
  <si>
    <t xml:space="preserve">635*205*210</t>
  </si>
  <si>
    <t xml:space="preserve">XS2025101600011</t>
  </si>
  <si>
    <t xml:space="preserve">515*195*225</t>
  </si>
  <si>
    <t xml:space="preserve">XS2025101500011</t>
  </si>
  <si>
    <t xml:space="preserve">XS2025101600018</t>
  </si>
  <si>
    <t xml:space="preserve">XS2025101600017</t>
  </si>
  <si>
    <t xml:space="preserve">XS2025101600016</t>
  </si>
  <si>
    <t xml:space="preserve">XS2025101600015</t>
  </si>
  <si>
    <t xml:space="preserve">XS2025101700004</t>
  </si>
  <si>
    <t xml:space="preserve">2025-10-17</t>
  </si>
  <si>
    <t xml:space="preserve">XS2025101700010</t>
  </si>
  <si>
    <t xml:space="preserve">436*205*20</t>
  </si>
  <si>
    <t xml:space="preserve">XS2025101700009</t>
  </si>
  <si>
    <t xml:space="preserve">259*205*20</t>
  </si>
  <si>
    <t xml:space="preserve">XS2025101700008</t>
  </si>
  <si>
    <t xml:space="preserve">436*299*45</t>
  </si>
  <si>
    <t xml:space="preserve">XS2025101700007</t>
  </si>
  <si>
    <t xml:space="preserve">249*205*35</t>
  </si>
  <si>
    <t xml:space="preserve">XS2025101700020</t>
  </si>
  <si>
    <t xml:space="preserve">XS2025101700019</t>
  </si>
  <si>
    <t xml:space="preserve">XS2025101800002</t>
  </si>
  <si>
    <t xml:space="preserve">2025-10-18</t>
  </si>
  <si>
    <t xml:space="preserve">XS2025102400005</t>
  </si>
  <si>
    <t xml:space="preserve">2025-10-24</t>
  </si>
  <si>
    <t xml:space="preserve">XS2025102000002</t>
  </si>
  <si>
    <t xml:space="preserve">2025-10-20</t>
  </si>
  <si>
    <t xml:space="preserve">XS2025102100001</t>
  </si>
  <si>
    <t xml:space="preserve">2025-10-21</t>
  </si>
  <si>
    <t xml:space="preserve">249*184*70</t>
  </si>
  <si>
    <t xml:space="preserve">XS2025102100002</t>
  </si>
  <si>
    <t xml:space="preserve">XS2025102100003</t>
  </si>
  <si>
    <t xml:space="preserve">670*260*425</t>
  </si>
  <si>
    <t xml:space="preserve">XS2025102300004</t>
  </si>
  <si>
    <t xml:space="preserve">2025-10-23</t>
  </si>
  <si>
    <t xml:space="preserve">XS2025102300002</t>
  </si>
  <si>
    <t xml:space="preserve">XS2025102300001</t>
  </si>
  <si>
    <t xml:space="preserve">XS2025101700014</t>
  </si>
  <si>
    <t xml:space="preserve">560*240*125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</si>
  <si>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200.130B.110.150C.</t>
    </r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</t>
    </r>
  </si>
  <si>
    <t xml:space="preserve">XS2025102400007</t>
  </si>
  <si>
    <t xml:space="preserve">180*100</t>
  </si>
  <si>
    <t xml:space="preserve">XS2025102400013</t>
  </si>
  <si>
    <t xml:space="preserve">XS2025102400012</t>
  </si>
  <si>
    <t xml:space="preserve">XS2025102400011</t>
  </si>
  <si>
    <t xml:space="preserve">XS2025102400010</t>
  </si>
  <si>
    <t xml:space="preserve">XS2025102400009</t>
  </si>
  <si>
    <t xml:space="preserve">XS2025102400008</t>
  </si>
  <si>
    <t xml:space="preserve">XS2025102400014</t>
  </si>
  <si>
    <t xml:space="preserve">835*835*475</t>
  </si>
  <si>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200.130.110. 150.</t>
    </r>
    <r>
      <rPr>
        <sz val="9"/>
        <color rgb="FF000000"/>
        <rFont val="Noto Sans CJK SC"/>
        <family val="2"/>
      </rPr>
      <t xml:space="preserve">进</t>
    </r>
    <r>
      <rPr>
        <sz val="9"/>
        <color rgb="FF000000"/>
        <rFont val="Arial"/>
        <family val="0"/>
        <charset val="1"/>
      </rPr>
      <t xml:space="preserve">200</t>
    </r>
  </si>
  <si>
    <t xml:space="preserve">XS2025102400017</t>
  </si>
  <si>
    <t xml:space="preserve">1100*1100*705</t>
  </si>
  <si>
    <r>
      <rPr>
        <sz val="9"/>
        <color rgb="FF000000"/>
        <rFont val="Noto Sans CJK SC"/>
        <family val="2"/>
      </rPr>
      <t xml:space="preserve">进牛</t>
    </r>
    <r>
      <rPr>
        <sz val="9"/>
        <color rgb="FF000000"/>
        <rFont val="Arial"/>
        <family val="0"/>
        <charset val="1"/>
      </rPr>
      <t xml:space="preserve">200+150B+110</t>
    </r>
    <r>
      <rPr>
        <sz val="9"/>
        <color rgb="FF000000"/>
        <rFont val="Noto Sans CJK SC"/>
        <family val="2"/>
      </rPr>
      <t xml:space="preserve">中</t>
    </r>
    <r>
      <rPr>
        <sz val="9"/>
        <color rgb="FF000000"/>
        <rFont val="Arial"/>
        <family val="0"/>
        <charset val="1"/>
      </rPr>
      <t xml:space="preserve">+150C+200</t>
    </r>
    <r>
      <rPr>
        <sz val="9"/>
        <color rgb="FF000000"/>
        <rFont val="Noto Sans CJK SC"/>
        <family val="2"/>
      </rPr>
      <t xml:space="preserve">进牛</t>
    </r>
  </si>
  <si>
    <t xml:space="preserve">XS2025102400016</t>
  </si>
  <si>
    <t xml:space="preserve">XS2025102400015</t>
  </si>
  <si>
    <t xml:space="preserve">XS2025102500002</t>
  </si>
  <si>
    <t xml:space="preserve">2025-10-25</t>
  </si>
  <si>
    <t xml:space="preserve">XS2025102500001</t>
  </si>
  <si>
    <t xml:space="preserve">XS2025102700006</t>
  </si>
  <si>
    <t xml:space="preserve">2025-10-27</t>
  </si>
  <si>
    <t xml:space="preserve">XS2025102700005</t>
  </si>
  <si>
    <t xml:space="preserve">XS2025102700004</t>
  </si>
  <si>
    <t xml:space="preserve">XS2025102700003</t>
  </si>
  <si>
    <t xml:space="preserve">XS2025102700002</t>
  </si>
  <si>
    <t xml:space="preserve">XS2025102700001</t>
  </si>
  <si>
    <t xml:space="preserve">XS2025102900004</t>
  </si>
  <si>
    <t xml:space="preserve">2025-10-29</t>
  </si>
  <si>
    <t xml:space="preserve">XS2025102900003</t>
  </si>
  <si>
    <t xml:space="preserve">XS2025102900002</t>
  </si>
  <si>
    <t xml:space="preserve">XS2025102900001</t>
  </si>
  <si>
    <t xml:space="preserve">XS2025102900011</t>
  </si>
  <si>
    <t xml:space="preserve">200*1627</t>
  </si>
  <si>
    <t xml:space="preserve">160.110.60.130.130</t>
  </si>
  <si>
    <t xml:space="preserve">XS2025102900010</t>
  </si>
  <si>
    <t xml:space="preserve">XS2025103000003</t>
  </si>
  <si>
    <t xml:space="preserve">2025-10-30</t>
  </si>
  <si>
    <t xml:space="preserve">XS2025103100003</t>
  </si>
  <si>
    <t xml:space="preserve">2025-10-31</t>
  </si>
  <si>
    <t xml:space="preserve">XS2025102300005</t>
  </si>
  <si>
    <t xml:space="preserve">XS2025110100017</t>
  </si>
  <si>
    <t xml:space="preserve">2025-11-01</t>
  </si>
  <si>
    <t xml:space="preserve">410*260*285</t>
  </si>
  <si>
    <t xml:space="preserve">XS2025110100018</t>
  </si>
  <si>
    <t xml:space="preserve">392*242</t>
  </si>
  <si>
    <t xml:space="preserve">130.110.130--B</t>
  </si>
  <si>
    <t xml:space="preserve">XS2025110100016</t>
  </si>
  <si>
    <t xml:space="preserve">522*272</t>
  </si>
  <si>
    <t xml:space="preserve">XS2025110100014</t>
  </si>
  <si>
    <t xml:space="preserve">542*267</t>
  </si>
  <si>
    <t xml:space="preserve">XS2025110100012</t>
  </si>
  <si>
    <t xml:space="preserve">562*287</t>
  </si>
  <si>
    <t xml:space="preserve">XS2025110100015</t>
  </si>
  <si>
    <t xml:space="preserve">540*290*280</t>
  </si>
  <si>
    <t xml:space="preserve">XS2025110100013</t>
  </si>
  <si>
    <t xml:space="preserve">560*285*215</t>
  </si>
  <si>
    <t xml:space="preserve">XS2025110100011</t>
  </si>
  <si>
    <t xml:space="preserve">580*305*335</t>
  </si>
  <si>
    <t xml:space="preserve">XS2025110300001</t>
  </si>
  <si>
    <t xml:space="preserve">2025-11-03</t>
  </si>
  <si>
    <t xml:space="preserve">XS2025110100022</t>
  </si>
  <si>
    <t xml:space="preserve">XS2025110100021</t>
  </si>
  <si>
    <t xml:space="preserve">XS2025110100009</t>
  </si>
  <si>
    <t xml:space="preserve">XS2025110100008</t>
  </si>
  <si>
    <t xml:space="preserve">XS2025110300003</t>
  </si>
  <si>
    <t xml:space="preserve">XS2025110400006</t>
  </si>
  <si>
    <t xml:space="preserve">2025-11-04</t>
  </si>
  <si>
    <t xml:space="preserve">XS2025110400005</t>
  </si>
  <si>
    <t xml:space="preserve">XS2025110400010</t>
  </si>
  <si>
    <t xml:space="preserve">442*376</t>
  </si>
  <si>
    <t xml:space="preserve">XS2025110400012</t>
  </si>
  <si>
    <t xml:space="preserve">杨凌金海生物技术有限公司</t>
  </si>
  <si>
    <t xml:space="preserve">413*208*183</t>
  </si>
  <si>
    <r>
      <rPr>
        <sz val="9"/>
        <color rgb="FF000000"/>
        <rFont val="Noto Sans CJK SC"/>
        <family val="2"/>
      </rPr>
      <t xml:space="preserve">覆亮膜  凤玺</t>
    </r>
    <r>
      <rPr>
        <sz val="9"/>
        <color rgb="FF000000"/>
        <rFont val="Arial"/>
        <family val="0"/>
        <charset val="1"/>
      </rPr>
      <t xml:space="preserve">300</t>
    </r>
    <r>
      <rPr>
        <sz val="9"/>
        <color rgb="FF000000"/>
        <rFont val="Noto Sans CJK SC"/>
        <family val="2"/>
      </rPr>
      <t xml:space="preserve">克</t>
    </r>
    <r>
      <rPr>
        <sz val="9"/>
        <color rgb="FF000000"/>
        <rFont val="Arial"/>
        <family val="0"/>
        <charset val="1"/>
      </rPr>
      <t xml:space="preserve">.100.60.140.170</t>
    </r>
    <r>
      <rPr>
        <sz val="9"/>
        <color rgb="FF000000"/>
        <rFont val="Noto Sans CJK SC"/>
        <family val="2"/>
      </rPr>
      <t xml:space="preserve">牛</t>
    </r>
  </si>
  <si>
    <t xml:space="preserve">XS2025112600007</t>
  </si>
  <si>
    <t xml:space="preserve">2025-11-26</t>
  </si>
  <si>
    <t xml:space="preserve">XS2025112600006</t>
  </si>
  <si>
    <t xml:space="preserve">XS2025112600005</t>
  </si>
  <si>
    <t xml:space="preserve">XS2025112700004</t>
  </si>
  <si>
    <t xml:space="preserve">2025-11-27</t>
  </si>
  <si>
    <t xml:space="preserve">XS2025112700003</t>
  </si>
  <si>
    <t xml:space="preserve">XS2025112700002</t>
  </si>
  <si>
    <t xml:space="preserve">XS2025112700001</t>
  </si>
  <si>
    <t xml:space="preserve">XS2025112700011</t>
  </si>
  <si>
    <t xml:space="preserve">XS2025112100003</t>
  </si>
  <si>
    <t xml:space="preserve">2025-11-21</t>
  </si>
  <si>
    <t xml:space="preserve">935*935*890</t>
  </si>
  <si>
    <t xml:space="preserve">XS2025111900014</t>
  </si>
  <si>
    <t xml:space="preserve">2025-11-19</t>
  </si>
  <si>
    <t xml:space="preserve">383*220*105</t>
  </si>
  <si>
    <t xml:space="preserve">XS2025112800001</t>
  </si>
  <si>
    <t xml:space="preserve">2025-11-28</t>
  </si>
  <si>
    <t xml:space="preserve">XS2025111200016</t>
  </si>
  <si>
    <t xml:space="preserve">2025-11-12</t>
  </si>
  <si>
    <t xml:space="preserve">765*475*165</t>
  </si>
  <si>
    <r>
      <rPr>
        <sz val="9"/>
        <color rgb="FF000000"/>
        <rFont val="Arial"/>
        <family val="0"/>
        <charset val="1"/>
      </rPr>
      <t xml:space="preserve">5mm</t>
    </r>
    <r>
      <rPr>
        <sz val="9"/>
        <color rgb="FF000000"/>
        <rFont val="Noto Sans CJK SC"/>
        <family val="2"/>
      </rPr>
      <t xml:space="preserve">厚钙塑板，</t>
    </r>
    <r>
      <rPr>
        <sz val="9"/>
        <color rgb="FF000000"/>
        <rFont val="Arial"/>
        <family val="0"/>
        <charset val="1"/>
      </rPr>
      <t xml:space="preserve">1200g  </t>
    </r>
    <r>
      <rPr>
        <sz val="9"/>
        <color rgb="FF000000"/>
        <rFont val="Noto Sans CJK SC"/>
        <family val="2"/>
      </rPr>
      <t xml:space="preserve">绿色</t>
    </r>
    <r>
      <rPr>
        <sz val="9"/>
        <color rgb="FF000000"/>
        <rFont val="Arial"/>
        <family val="0"/>
        <charset val="1"/>
      </rPr>
      <t xml:space="preserve">--</t>
    </r>
  </si>
  <si>
    <t xml:space="preserve">XS2025112800004</t>
  </si>
  <si>
    <t xml:space="preserve">725*470*6</t>
  </si>
  <si>
    <t xml:space="preserve">XS2025111900002</t>
  </si>
  <si>
    <t xml:space="preserve">XS2025112800005</t>
  </si>
  <si>
    <t xml:space="preserve">XS2025112800007</t>
  </si>
  <si>
    <t xml:space="preserve">425*325*6</t>
  </si>
  <si>
    <t xml:space="preserve">XS2025112800006</t>
  </si>
  <si>
    <t xml:space="preserve">425*325*250</t>
  </si>
  <si>
    <t xml:space="preserve">XS2025120200004</t>
  </si>
  <si>
    <t xml:space="preserve">2025-12-02</t>
  </si>
  <si>
    <t xml:space="preserve">XS2025120200003</t>
  </si>
  <si>
    <t xml:space="preserve">XS2025120200002</t>
  </si>
  <si>
    <t xml:space="preserve">XS2025120200001</t>
  </si>
  <si>
    <t xml:space="preserve">XS2025112900001</t>
  </si>
  <si>
    <t xml:space="preserve">2025-11-29</t>
  </si>
  <si>
    <t xml:space="preserve">XS2025120200010</t>
  </si>
  <si>
    <t xml:space="preserve">星梦达</t>
  </si>
  <si>
    <t xml:space="preserve">430*420*40</t>
  </si>
  <si>
    <t xml:space="preserve">XS2025120200009</t>
  </si>
  <si>
    <t xml:space="preserve">300*300*40</t>
  </si>
  <si>
    <t xml:space="preserve">XS2025120300001</t>
  </si>
  <si>
    <t xml:space="preserve">2025-12-03</t>
  </si>
  <si>
    <t xml:space="preserve">XS2025120300003</t>
  </si>
  <si>
    <t xml:space="preserve">315*315*270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</si>
  <si>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200.150C.200</t>
    </r>
    <r>
      <rPr>
        <sz val="9"/>
        <color rgb="FF000000"/>
        <rFont val="Noto Sans CJK SC"/>
        <family val="2"/>
      </rPr>
      <t xml:space="preserve">木桨</t>
    </r>
  </si>
  <si>
    <t xml:space="preserve">XS2025120300002</t>
  </si>
  <si>
    <t xml:space="preserve">650*650*570</t>
  </si>
  <si>
    <t xml:space="preserve">XS2025120400002</t>
  </si>
  <si>
    <t xml:space="preserve">2025-12-04</t>
  </si>
  <si>
    <t xml:space="preserve">XS2025120500003</t>
  </si>
  <si>
    <t xml:space="preserve">2025-12-05</t>
  </si>
  <si>
    <t xml:space="preserve">XS2025120500002</t>
  </si>
  <si>
    <t xml:space="preserve">XS2025120500001</t>
  </si>
  <si>
    <t xml:space="preserve">XS2025120500016</t>
  </si>
  <si>
    <t xml:space="preserve">XS2025120500017</t>
  </si>
  <si>
    <t xml:space="preserve">130*79*95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</si>
  <si>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200.130B.160</t>
    </r>
    <r>
      <rPr>
        <sz val="9"/>
        <color rgb="FF000000"/>
        <rFont val="Noto Sans CJK SC"/>
        <family val="2"/>
      </rPr>
      <t xml:space="preserve">木桨</t>
    </r>
  </si>
  <si>
    <t xml:space="preserve">XS2025120600003</t>
  </si>
  <si>
    <t xml:space="preserve">2025-12-06</t>
  </si>
  <si>
    <t xml:space="preserve">XS2025120600002</t>
  </si>
  <si>
    <t xml:space="preserve">XS2025120600005</t>
  </si>
  <si>
    <t xml:space="preserve">XS2025120600004</t>
  </si>
  <si>
    <t xml:space="preserve">XS2025120500014</t>
  </si>
  <si>
    <t xml:space="preserve">XS2025120500013</t>
  </si>
  <si>
    <t xml:space="preserve">XS2025120500012</t>
  </si>
  <si>
    <t xml:space="preserve">XS2025120500011</t>
  </si>
  <si>
    <t xml:space="preserve">400*400*265</t>
  </si>
  <si>
    <t xml:space="preserve">XS2025120500010</t>
  </si>
  <si>
    <t xml:space="preserve">XS2025120500008</t>
  </si>
  <si>
    <t xml:space="preserve">XS2025120500007</t>
  </si>
  <si>
    <t xml:space="preserve">XS2025120500006</t>
  </si>
  <si>
    <t xml:space="preserve">330*330*200</t>
  </si>
  <si>
    <t xml:space="preserve">XS2025120400001</t>
  </si>
  <si>
    <t xml:space="preserve">丙坤电力</t>
  </si>
  <si>
    <t xml:space="preserve">515*300*130</t>
  </si>
  <si>
    <r>
      <rPr>
        <sz val="9"/>
        <color rgb="FF000000"/>
        <rFont val="Noto Sans CJK SC"/>
        <family val="2"/>
      </rPr>
      <t xml:space="preserve">国牛</t>
    </r>
    <r>
      <rPr>
        <sz val="9"/>
        <color rgb="FF000000"/>
        <rFont val="Arial"/>
        <family val="0"/>
        <charset val="1"/>
      </rPr>
      <t xml:space="preserve">170.110B.70.130C.160</t>
    </r>
    <r>
      <rPr>
        <sz val="9"/>
        <color rgb="FF000000"/>
        <rFont val="Noto Sans CJK SC"/>
        <family val="2"/>
      </rPr>
      <t xml:space="preserve">木桨</t>
    </r>
  </si>
  <si>
    <t xml:space="preserve">XS2025120800004</t>
  </si>
  <si>
    <t xml:space="preserve">2025-12-08</t>
  </si>
  <si>
    <t xml:space="preserve">410*410</t>
  </si>
  <si>
    <t xml:space="preserve">XS2025120800002</t>
  </si>
  <si>
    <t xml:space="preserve">400*385</t>
  </si>
  <si>
    <t xml:space="preserve">XS2025120900002</t>
  </si>
  <si>
    <t xml:space="preserve">2025-12-09</t>
  </si>
  <si>
    <t xml:space="preserve">XS2025120900003</t>
  </si>
  <si>
    <t xml:space="preserve">XS2025121000001</t>
  </si>
  <si>
    <t xml:space="preserve">西安方解石信息技术有限责任公司</t>
  </si>
  <si>
    <t xml:space="preserve">2025-12-10</t>
  </si>
  <si>
    <t xml:space="preserve">300*250*65</t>
  </si>
  <si>
    <t xml:space="preserve">XS2025121000002</t>
  </si>
  <si>
    <t xml:space="preserve">295*248*20</t>
  </si>
  <si>
    <t xml:space="preserve">XS2025112400002</t>
  </si>
  <si>
    <t xml:space="preserve">2025-11-24</t>
  </si>
  <si>
    <t xml:space="preserve">XS2025112400001</t>
  </si>
  <si>
    <t xml:space="preserve">XS2025121100008</t>
  </si>
  <si>
    <t xml:space="preserve">2025-12-11</t>
  </si>
  <si>
    <t xml:space="preserve">XS2025121100007</t>
  </si>
  <si>
    <t xml:space="preserve">XS2025121100006</t>
  </si>
  <si>
    <t xml:space="preserve">XS2025121100005</t>
  </si>
  <si>
    <t xml:space="preserve">XS2025121100004</t>
  </si>
  <si>
    <t xml:space="preserve">XS2025121100003</t>
  </si>
  <si>
    <t xml:space="preserve">Settings (Editable)</t>
  </si>
  <si>
    <t xml:space="preserve">Board Grade Name</t>
  </si>
  <si>
    <t xml:space="preserve">Unit Price (¥/m²)</t>
  </si>
  <si>
    <t xml:space="preserve">Description</t>
  </si>
  <si>
    <t xml:space="preserve">Wood Pulp / White Kraft</t>
  </si>
  <si>
    <t xml:space="preserve">Basic grade, lowest cost</t>
  </si>
  <si>
    <t xml:space="preserve">Mid-range, domestic kraft liner face</t>
  </si>
  <si>
    <t xml:space="preserve">Common export box configuration</t>
  </si>
  <si>
    <t xml:space="preserve">Imported Face + Imported Base</t>
  </si>
  <si>
    <t xml:space="preserve">High strength, premium customers</t>
  </si>
  <si>
    <t xml:space="preserve">Freight Calculation Notes</t>
  </si>
  <si>
    <t xml:space="preserve">Freight = (200 + Distance × 3) ¥ per trip</t>
  </si>
  <si>
    <t xml:space="preserve">Example: 80 km → (200 + 80×3) = 440 ¥ per trip</t>
  </si>
  <si>
    <t xml:space="preserve">Dynamic Profit Margin Reference Table (Based on Historical Data Analysis)</t>
  </si>
  <si>
    <t xml:space="preserve">Qty Band</t>
  </si>
  <si>
    <t xml:space="preserve">Sample
Orders</t>
  </si>
  <si>
    <t xml:space="preserve">Avg Total Cost
(¥/unit)</t>
  </si>
  <si>
    <t xml:space="preserve">Freight
Share</t>
  </si>
  <si>
    <t xml:space="preserve">Suggested
Margin</t>
  </si>
  <si>
    <t xml:space="preserve">vs Fixed 20%</t>
  </si>
  <si>
    <t xml:space="preserve">&lt;50 units</t>
  </si>
  <si>
    <t xml:space="preserve">77.4%</t>
  </si>
  <si>
    <t xml:space="preserve">↑ +15% vs fixed</t>
  </si>
  <si>
    <t xml:space="preserve">50–200 units</t>
  </si>
  <si>
    <t xml:space="preserve">51.8%</t>
  </si>
  <si>
    <t xml:space="preserve">↑ +8% vs fixed</t>
  </si>
  <si>
    <t xml:space="preserve">200–500 units</t>
  </si>
  <si>
    <t xml:space="preserve">28.9%</t>
  </si>
  <si>
    <t xml:space="preserve">↑ +1% vs fixed</t>
  </si>
  <si>
    <t xml:space="preserve">500–2,000 units</t>
  </si>
  <si>
    <t xml:space="preserve">21.5%</t>
  </si>
  <si>
    <t xml:space="preserve">↓ -2% vs fixed</t>
  </si>
  <si>
    <t xml:space="preserve">&gt;2,000 units</t>
  </si>
  <si>
    <t xml:space="preserve">8.0%</t>
  </si>
  <si>
    <t xml:space="preserve">↓ -6% vs fixed</t>
  </si>
  <si>
    <t xml:space="preserve">* Suggested margins are derived from freight-to-cost ratios based on historical orders. Adjust freight assumptions above if needed.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</si>
</sst>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"/>
    <numFmt numFmtId="166" formatCode="#,##0.00"/>
    <numFmt numFmtId="167" formatCode="0%"/>
    <numFmt numFmtId="168" formatCode="yyyy\-mm\-dd\ h:mm:ss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11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444444"/>
      </patternFill>
    </fill>
    <fill>
      <patternFill patternType="solid">
        <fgColor rgb="FFFFF2CC"/>
        <bgColor rgb="FFF0F7EC"/>
      </patternFill>
    </fill>
    <fill>
      <patternFill patternType="solid">
        <fgColor rgb="FFFFFFFF"/>
        <bgColor rgb="FFF0F7EC"/>
      </patternFill>
    </fill>
    <fill>
      <patternFill patternType="solid">
        <fgColor rgb="FFE2EFDA"/>
        <bgColor rgb="FFF0F7EC"/>
      </patternFill>
    </fill>
    <fill>
      <patternFill patternType="solid">
        <fgColor rgb="FFF0F7E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0F7EC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2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3" t="s">
        <v>2</v>
      </c>
      <c r="C4" s="3"/>
      <c r="F4" s="4" t="s">
        <v>3</v>
      </c>
      <c r="G4" s="4"/>
      <c r="H4" s="4"/>
      <c r="I4" s="4"/>
      <c r="J4" s="4"/>
      <c r="K4" s="4"/>
    </row>
    <row r="5" customFormat="false" ht="21.75" hidden="false" customHeight="true" outlineLevel="0" collapsed="false">
      <c r="B5" s="5" t="s">
        <v>4</v>
      </c>
      <c r="C5" s="6" t="n">
        <v>600</v>
      </c>
      <c r="F5" s="5" t="s">
        <v>5</v>
      </c>
      <c r="G5" s="7" t="n">
        <f aca="false">IFERROR((C5*2+C6*2)/1000*(C7/1000+(C5/1000+C6/1000)/2),0)</f>
        <v>1.6</v>
      </c>
    </row>
    <row r="6" customFormat="false" ht="21.75" hidden="false" customHeight="true" outlineLevel="0" collapsed="false">
      <c r="B6" s="5" t="s">
        <v>6</v>
      </c>
      <c r="C6" s="6" t="n">
        <v>400</v>
      </c>
      <c r="F6" s="5" t="s">
        <v>7</v>
      </c>
      <c r="G6" s="8" t="n">
        <f aca="false">IFERROR(G5*VLOOKUP(C13,'⚙️ Settings'!B3:C6,2,0),0)</f>
        <v>7.328</v>
      </c>
    </row>
    <row r="7" customFormat="false" ht="21.75" hidden="false" customHeight="true" outlineLevel="0" collapsed="false">
      <c r="B7" s="5" t="s">
        <v>8</v>
      </c>
      <c r="C7" s="6" t="n">
        <v>300</v>
      </c>
      <c r="F7" s="5" t="s">
        <v>9</v>
      </c>
      <c r="G7" s="8" t="n">
        <f aca="false">IFERROR(C10*C11/C8,0)</f>
        <v>0.8</v>
      </c>
    </row>
    <row r="8" customFormat="false" ht="21.75" hidden="false" customHeight="true" outlineLevel="0" collapsed="false">
      <c r="B8" s="5" t="s">
        <v>10</v>
      </c>
      <c r="C8" s="6" t="n">
        <v>1000</v>
      </c>
      <c r="F8" s="5" t="s">
        <v>11</v>
      </c>
      <c r="G8" s="8" t="n">
        <f aca="false">IFERROR((200+C9*3)/C8,0)</f>
        <v>0.44</v>
      </c>
    </row>
    <row r="9" customFormat="false" ht="21.75" hidden="false" customHeight="true" outlineLevel="0" collapsed="false">
      <c r="B9" s="5" t="s">
        <v>12</v>
      </c>
      <c r="C9" s="6" t="n">
        <v>80</v>
      </c>
      <c r="F9" s="5" t="s">
        <v>13</v>
      </c>
      <c r="G9" s="8" t="n">
        <f aca="false">G6+G7+G8</f>
        <v>8.568</v>
      </c>
    </row>
    <row r="10" customFormat="false" ht="21.75" hidden="false" customHeight="true" outlineLevel="0" collapsed="false">
      <c r="B10" s="5" t="s">
        <v>14</v>
      </c>
      <c r="C10" s="6" t="n">
        <v>800</v>
      </c>
    </row>
    <row r="11" customFormat="false" ht="21.75" hidden="false" customHeight="true" outlineLevel="0" collapsed="false">
      <c r="B11" s="5" t="s">
        <v>15</v>
      </c>
      <c r="C11" s="6" t="n">
        <v>1</v>
      </c>
      <c r="F11" s="9" t="s">
        <v>16</v>
      </c>
      <c r="G11" s="10" t="n">
        <f aca="false">IFERROR(G9*(1+C12),0)</f>
        <v>10.2816</v>
      </c>
    </row>
    <row r="12" customFormat="false" ht="21.75" hidden="false" customHeight="true" outlineLevel="0" collapsed="false">
      <c r="B12" s="5" t="s">
        <v>17</v>
      </c>
      <c r="C12" s="11" t="n">
        <f aca="false">IFERROR(ifs(C8&lt;50,'⚙️ Settings'!F15,C8&lt;200,'⚙️ Settings'!F16,C8&lt;500,'⚙️ Settings'!F17,C8&lt;2000,'⚙️ Settings'!F18,C8&gt;=2000,'⚙️ Settings'!F19),0.2)</f>
        <v>0.2</v>
      </c>
      <c r="F12" s="9" t="s">
        <v>18</v>
      </c>
      <c r="G12" s="10" t="n">
        <f aca="false">G11*100</f>
        <v>1028.16</v>
      </c>
    </row>
    <row r="13" customFormat="false" ht="21.75" hidden="false" customHeight="true" outlineLevel="0" collapsed="false">
      <c r="B13" s="5" t="s">
        <v>19</v>
      </c>
      <c r="C13" s="6" t="s">
        <v>20</v>
      </c>
      <c r="F13" s="9" t="s">
        <v>21</v>
      </c>
      <c r="G13" s="10" t="n">
        <f aca="false">G11*C8</f>
        <v>10281.6</v>
      </c>
    </row>
    <row r="14" customFormat="false" ht="30" hidden="false" customHeight="true" outlineLevel="0" collapsed="false">
      <c r="B14" s="12" t="s">
        <v>22</v>
      </c>
      <c r="C14" s="12"/>
    </row>
    <row r="15" customFormat="false" ht="21.75" hidden="false" customHeight="true" outlineLevel="0" collapsed="false"/>
    <row r="16" customFormat="false" ht="24" hidden="false" customHeight="true" outlineLevel="0" collapsed="false">
      <c r="B16" s="9" t="s">
        <v>23</v>
      </c>
      <c r="C16" s="13" t="str">
        <f aca="false">IFERROR(ifs(C8&lt;50,"Small order (&lt;50 units): suggested margin 35%, freight is ~77% of cost",C8&lt;200,"Small-mid order (50–200 units): suggested margin 28%, freight is ~52% of cost",C8&lt;500,"Mid order (200–500 units): suggested margin 21%, freight is ~29% of cost",C8&lt;2000,"Mid-large order (500–2000 units): suggested margin 18%, freight is ~22% of cost",C8&gt;=2000,"Large order (&gt;2000 units): suggested margin 14%, freight is ~8% of cost"),"Please enter quantity")</f>
        <v>Please enter quantity</v>
      </c>
      <c r="D16" s="13"/>
      <c r="E16" s="13"/>
      <c r="F16" s="13"/>
      <c r="G16" s="13"/>
    </row>
    <row r="17" customFormat="false" ht="21.75" hidden="false" customHeight="true" outlineLevel="0" collapsed="false"/>
  </sheetData>
  <mergeCells count="6">
    <mergeCell ref="B1:K1"/>
    <mergeCell ref="B2:K2"/>
    <mergeCell ref="B4:C4"/>
    <mergeCell ref="F4:K4"/>
    <mergeCell ref="B14:C14"/>
    <mergeCell ref="C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8"/>
  </cols>
  <sheetData>
    <row r="1" customFormat="false" ht="27.75" hidden="false" customHeight="true" outlineLevel="0" collapsed="false">
      <c r="B1" s="14" t="s">
        <v>24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3.75" hidden="false" customHeight="true" outlineLevel="0" collapsed="false"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</row>
    <row r="3" customFormat="false" ht="18" hidden="false" customHeight="true" outlineLevel="0" collapsed="false">
      <c r="B3" s="16" t="s">
        <v>38</v>
      </c>
      <c r="C3" s="17" t="s">
        <v>39</v>
      </c>
      <c r="D3" s="18" t="s">
        <v>40</v>
      </c>
      <c r="E3" s="18" t="s">
        <v>41</v>
      </c>
      <c r="F3" s="16" t="s">
        <v>42</v>
      </c>
      <c r="G3" s="18" t="s">
        <v>43</v>
      </c>
      <c r="H3" s="18" t="n">
        <v>3.26</v>
      </c>
      <c r="I3" s="18" t="n">
        <v>300</v>
      </c>
      <c r="J3" s="18" t="n">
        <v>1.3152</v>
      </c>
      <c r="K3" s="18" t="n">
        <v>4.29</v>
      </c>
      <c r="L3" s="18" t="n">
        <v>1.67</v>
      </c>
      <c r="M3" s="18" t="n">
        <v>7.15</v>
      </c>
      <c r="N3" s="16"/>
    </row>
    <row r="4" customFormat="false" ht="18" hidden="false" customHeight="true" outlineLevel="0" collapsed="false">
      <c r="B4" s="19" t="s">
        <v>44</v>
      </c>
      <c r="C4" s="20" t="s">
        <v>45</v>
      </c>
      <c r="D4" s="21" t="s">
        <v>46</v>
      </c>
      <c r="E4" s="21" t="s">
        <v>47</v>
      </c>
      <c r="F4" s="20" t="s">
        <v>48</v>
      </c>
      <c r="G4" s="21" t="s">
        <v>43</v>
      </c>
      <c r="H4" s="21" t="n">
        <v>3.26</v>
      </c>
      <c r="I4" s="21" t="n">
        <v>2900</v>
      </c>
      <c r="J4" s="21"/>
      <c r="K4" s="21"/>
      <c r="L4" s="21" t="n">
        <v>0.17</v>
      </c>
      <c r="M4" s="21" t="s">
        <v>49</v>
      </c>
      <c r="N4" s="19" t="s">
        <v>50</v>
      </c>
    </row>
    <row r="5" customFormat="false" ht="18" hidden="false" customHeight="true" outlineLevel="0" collapsed="false">
      <c r="B5" s="16" t="s">
        <v>51</v>
      </c>
      <c r="C5" s="17" t="s">
        <v>52</v>
      </c>
      <c r="D5" s="18" t="s">
        <v>53</v>
      </c>
      <c r="E5" s="18" t="s">
        <v>54</v>
      </c>
      <c r="F5" s="17" t="s">
        <v>55</v>
      </c>
      <c r="G5" s="18" t="s">
        <v>56</v>
      </c>
      <c r="H5" s="18" t="n">
        <v>4.13</v>
      </c>
      <c r="I5" s="18" t="n">
        <v>505</v>
      </c>
      <c r="J5" s="18" t="n">
        <v>0.8918</v>
      </c>
      <c r="K5" s="18" t="n">
        <v>3.68</v>
      </c>
      <c r="L5" s="18" t="n">
        <v>0.99</v>
      </c>
      <c r="M5" s="18" t="n">
        <v>5.61</v>
      </c>
      <c r="N5" s="16"/>
    </row>
    <row r="6" customFormat="false" ht="18" hidden="false" customHeight="true" outlineLevel="0" collapsed="false">
      <c r="B6" s="19" t="s">
        <v>57</v>
      </c>
      <c r="C6" s="20" t="s">
        <v>45</v>
      </c>
      <c r="D6" s="21" t="s">
        <v>58</v>
      </c>
      <c r="E6" s="21" t="s">
        <v>59</v>
      </c>
      <c r="F6" s="20" t="s">
        <v>60</v>
      </c>
      <c r="G6" s="21" t="s">
        <v>43</v>
      </c>
      <c r="H6" s="21" t="n">
        <v>3.26</v>
      </c>
      <c r="I6" s="21" t="n">
        <v>5700</v>
      </c>
      <c r="J6" s="21"/>
      <c r="K6" s="21"/>
      <c r="L6" s="21" t="n">
        <v>0.09</v>
      </c>
      <c r="M6" s="21" t="s">
        <v>49</v>
      </c>
      <c r="N6" s="19" t="s">
        <v>50</v>
      </c>
    </row>
    <row r="7" customFormat="false" ht="18" hidden="false" customHeight="true" outlineLevel="0" collapsed="false">
      <c r="B7" s="16" t="s">
        <v>61</v>
      </c>
      <c r="C7" s="17" t="s">
        <v>39</v>
      </c>
      <c r="D7" s="18" t="s">
        <v>62</v>
      </c>
      <c r="E7" s="18" t="s">
        <v>63</v>
      </c>
      <c r="F7" s="17" t="s">
        <v>64</v>
      </c>
      <c r="G7" s="18" t="s">
        <v>65</v>
      </c>
      <c r="H7" s="18" t="n">
        <v>4.58</v>
      </c>
      <c r="I7" s="18" t="n">
        <v>30</v>
      </c>
      <c r="J7" s="18" t="n">
        <v>2.0093</v>
      </c>
      <c r="K7" s="18" t="n">
        <v>9.2</v>
      </c>
      <c r="L7" s="18" t="n">
        <v>16.67</v>
      </c>
      <c r="M7" s="18" t="n">
        <v>31.04</v>
      </c>
      <c r="N7" s="16"/>
    </row>
    <row r="8" customFormat="false" ht="18" hidden="false" customHeight="true" outlineLevel="0" collapsed="false">
      <c r="B8" s="19" t="s">
        <v>66</v>
      </c>
      <c r="C8" s="20" t="s">
        <v>67</v>
      </c>
      <c r="D8" s="21" t="s">
        <v>68</v>
      </c>
      <c r="E8" s="21" t="s">
        <v>69</v>
      </c>
      <c r="F8" s="20" t="s">
        <v>70</v>
      </c>
      <c r="G8" s="21" t="s">
        <v>65</v>
      </c>
      <c r="H8" s="21" t="n">
        <v>4.58</v>
      </c>
      <c r="I8" s="21" t="n">
        <v>1000</v>
      </c>
      <c r="J8" s="21" t="n">
        <v>0.4736</v>
      </c>
      <c r="K8" s="21" t="n">
        <v>2.17</v>
      </c>
      <c r="L8" s="21" t="n">
        <v>0.5</v>
      </c>
      <c r="M8" s="21" t="n">
        <v>3.2</v>
      </c>
      <c r="N8" s="19"/>
    </row>
    <row r="9" customFormat="false" ht="18" hidden="false" customHeight="true" outlineLevel="0" collapsed="false">
      <c r="B9" s="16" t="s">
        <v>71</v>
      </c>
      <c r="C9" s="17" t="s">
        <v>72</v>
      </c>
      <c r="D9" s="18" t="s">
        <v>73</v>
      </c>
      <c r="E9" s="18" t="s">
        <v>74</v>
      </c>
      <c r="F9" s="17" t="s">
        <v>75</v>
      </c>
      <c r="G9" s="18" t="s">
        <v>43</v>
      </c>
      <c r="H9" s="18" t="n">
        <v>3.26</v>
      </c>
      <c r="I9" s="18" t="n">
        <v>500</v>
      </c>
      <c r="J9" s="18" t="n">
        <v>0.231</v>
      </c>
      <c r="K9" s="18" t="n">
        <v>0.75</v>
      </c>
      <c r="L9" s="18" t="n">
        <v>1</v>
      </c>
      <c r="M9" s="18" t="n">
        <v>2.1</v>
      </c>
      <c r="N9" s="16"/>
    </row>
    <row r="10" customFormat="false" ht="18" hidden="false" customHeight="true" outlineLevel="0" collapsed="false">
      <c r="B10" s="19" t="s">
        <v>76</v>
      </c>
      <c r="C10" s="20" t="s">
        <v>77</v>
      </c>
      <c r="D10" s="21" t="s">
        <v>78</v>
      </c>
      <c r="E10" s="21" t="s">
        <v>79</v>
      </c>
      <c r="F10" s="19" t="s">
        <v>80</v>
      </c>
      <c r="G10" s="21" t="s">
        <v>49</v>
      </c>
      <c r="H10" s="21"/>
      <c r="I10" s="21" t="n">
        <v>1000</v>
      </c>
      <c r="J10" s="21"/>
      <c r="K10" s="21"/>
      <c r="L10" s="21" t="n">
        <v>0.5</v>
      </c>
      <c r="M10" s="21" t="s">
        <v>49</v>
      </c>
      <c r="N10" s="19" t="s">
        <v>81</v>
      </c>
    </row>
    <row r="11" customFormat="false" ht="18" hidden="false" customHeight="true" outlineLevel="0" collapsed="false">
      <c r="B11" s="16" t="s">
        <v>82</v>
      </c>
      <c r="C11" s="17" t="s">
        <v>83</v>
      </c>
      <c r="D11" s="18" t="s">
        <v>84</v>
      </c>
      <c r="E11" s="18" t="s">
        <v>85</v>
      </c>
      <c r="F11" s="16" t="s">
        <v>86</v>
      </c>
      <c r="G11" s="18" t="s">
        <v>49</v>
      </c>
      <c r="H11" s="18"/>
      <c r="I11" s="18" t="n">
        <v>580</v>
      </c>
      <c r="J11" s="18" t="n">
        <v>0.2136</v>
      </c>
      <c r="K11" s="18"/>
      <c r="L11" s="18" t="n">
        <v>0.86</v>
      </c>
      <c r="M11" s="18" t="s">
        <v>49</v>
      </c>
      <c r="N11" s="16" t="s">
        <v>81</v>
      </c>
    </row>
    <row r="12" customFormat="false" ht="18" hidden="false" customHeight="true" outlineLevel="0" collapsed="false">
      <c r="B12" s="19" t="s">
        <v>87</v>
      </c>
      <c r="C12" s="20" t="s">
        <v>83</v>
      </c>
      <c r="D12" s="21" t="s">
        <v>84</v>
      </c>
      <c r="E12" s="21" t="s">
        <v>88</v>
      </c>
      <c r="F12" s="20" t="s">
        <v>89</v>
      </c>
      <c r="G12" s="21" t="s">
        <v>65</v>
      </c>
      <c r="H12" s="21" t="n">
        <v>4.58</v>
      </c>
      <c r="I12" s="21" t="n">
        <v>290</v>
      </c>
      <c r="J12" s="21" t="n">
        <v>1.4937</v>
      </c>
      <c r="K12" s="21" t="n">
        <v>6.84</v>
      </c>
      <c r="L12" s="21" t="n">
        <v>1.72</v>
      </c>
      <c r="M12" s="21" t="n">
        <v>10.28</v>
      </c>
      <c r="N12" s="19"/>
    </row>
    <row r="13" customFormat="false" ht="18" hidden="false" customHeight="true" outlineLevel="0" collapsed="false">
      <c r="B13" s="16" t="s">
        <v>90</v>
      </c>
      <c r="C13" s="17" t="s">
        <v>91</v>
      </c>
      <c r="D13" s="18" t="s">
        <v>92</v>
      </c>
      <c r="E13" s="18" t="s">
        <v>93</v>
      </c>
      <c r="F13" s="17" t="s">
        <v>94</v>
      </c>
      <c r="G13" s="18" t="s">
        <v>65</v>
      </c>
      <c r="H13" s="18" t="n">
        <v>4.58</v>
      </c>
      <c r="I13" s="18" t="n">
        <v>2000</v>
      </c>
      <c r="J13" s="18" t="n">
        <v>0.9703</v>
      </c>
      <c r="K13" s="18" t="n">
        <v>4.44</v>
      </c>
      <c r="L13" s="18" t="n">
        <v>0.25</v>
      </c>
      <c r="M13" s="18" t="n">
        <v>5.63</v>
      </c>
      <c r="N13" s="16"/>
    </row>
    <row r="14" customFormat="false" ht="18" hidden="false" customHeight="true" outlineLevel="0" collapsed="false">
      <c r="B14" s="19" t="s">
        <v>95</v>
      </c>
      <c r="C14" s="20" t="s">
        <v>96</v>
      </c>
      <c r="D14" s="21" t="s">
        <v>97</v>
      </c>
      <c r="E14" s="21" t="s">
        <v>98</v>
      </c>
      <c r="F14" s="20" t="s">
        <v>99</v>
      </c>
      <c r="G14" s="21" t="s">
        <v>49</v>
      </c>
      <c r="H14" s="21"/>
      <c r="I14" s="21" t="n">
        <v>100</v>
      </c>
      <c r="J14" s="21" t="n">
        <v>5.4413</v>
      </c>
      <c r="K14" s="21"/>
      <c r="L14" s="21" t="n">
        <v>5</v>
      </c>
      <c r="M14" s="21" t="s">
        <v>49</v>
      </c>
      <c r="N14" s="19" t="s">
        <v>81</v>
      </c>
    </row>
    <row r="15" customFormat="false" ht="18" hidden="false" customHeight="true" outlineLevel="0" collapsed="false">
      <c r="B15" s="16" t="s">
        <v>100</v>
      </c>
      <c r="C15" s="17" t="s">
        <v>101</v>
      </c>
      <c r="D15" s="18" t="s">
        <v>102</v>
      </c>
      <c r="E15" s="18" t="s">
        <v>103</v>
      </c>
      <c r="F15" s="16" t="s">
        <v>104</v>
      </c>
      <c r="G15" s="18" t="s">
        <v>49</v>
      </c>
      <c r="H15" s="18"/>
      <c r="I15" s="18" t="n">
        <v>25000</v>
      </c>
      <c r="J15" s="18"/>
      <c r="K15" s="18"/>
      <c r="L15" s="18" t="n">
        <v>0.02</v>
      </c>
      <c r="M15" s="18" t="s">
        <v>49</v>
      </c>
      <c r="N15" s="16" t="s">
        <v>81</v>
      </c>
    </row>
    <row r="16" customFormat="false" ht="18" hidden="false" customHeight="true" outlineLevel="0" collapsed="false">
      <c r="B16" s="19" t="s">
        <v>105</v>
      </c>
      <c r="C16" s="20" t="s">
        <v>101</v>
      </c>
      <c r="D16" s="21" t="s">
        <v>106</v>
      </c>
      <c r="E16" s="21" t="s">
        <v>107</v>
      </c>
      <c r="F16" s="20" t="s">
        <v>108</v>
      </c>
      <c r="G16" s="21" t="s">
        <v>49</v>
      </c>
      <c r="H16" s="21"/>
      <c r="I16" s="21" t="n">
        <v>7400</v>
      </c>
      <c r="J16" s="21" t="n">
        <v>0.4813</v>
      </c>
      <c r="K16" s="21"/>
      <c r="L16" s="21" t="n">
        <v>0.07</v>
      </c>
      <c r="M16" s="21" t="s">
        <v>49</v>
      </c>
      <c r="N16" s="19" t="s">
        <v>81</v>
      </c>
    </row>
    <row r="17" customFormat="false" ht="18" hidden="false" customHeight="true" outlineLevel="0" collapsed="false">
      <c r="B17" s="16" t="s">
        <v>109</v>
      </c>
      <c r="C17" s="17" t="s">
        <v>101</v>
      </c>
      <c r="D17" s="18" t="s">
        <v>106</v>
      </c>
      <c r="E17" s="18" t="s">
        <v>110</v>
      </c>
      <c r="F17" s="17" t="s">
        <v>111</v>
      </c>
      <c r="G17" s="18" t="s">
        <v>49</v>
      </c>
      <c r="H17" s="18"/>
      <c r="I17" s="18" t="n">
        <v>7400</v>
      </c>
      <c r="J17" s="18" t="n">
        <v>0.3773</v>
      </c>
      <c r="K17" s="18"/>
      <c r="L17" s="18" t="n">
        <v>0.07</v>
      </c>
      <c r="M17" s="18" t="s">
        <v>49</v>
      </c>
      <c r="N17" s="16" t="s">
        <v>81</v>
      </c>
    </row>
    <row r="18" customFormat="false" ht="18" hidden="false" customHeight="true" outlineLevel="0" collapsed="false">
      <c r="B18" s="19" t="s">
        <v>112</v>
      </c>
      <c r="C18" s="20" t="s">
        <v>45</v>
      </c>
      <c r="D18" s="21" t="s">
        <v>113</v>
      </c>
      <c r="E18" s="21" t="s">
        <v>114</v>
      </c>
      <c r="F18" s="20" t="s">
        <v>115</v>
      </c>
      <c r="G18" s="21" t="s">
        <v>56</v>
      </c>
      <c r="H18" s="21" t="n">
        <v>4.13</v>
      </c>
      <c r="I18" s="21" t="n">
        <v>500</v>
      </c>
      <c r="J18" s="21" t="n">
        <v>0.8864</v>
      </c>
      <c r="K18" s="21" t="n">
        <v>3.66</v>
      </c>
      <c r="L18" s="21" t="n">
        <v>1</v>
      </c>
      <c r="M18" s="21" t="n">
        <v>5.59</v>
      </c>
      <c r="N18" s="19"/>
    </row>
    <row r="19" customFormat="false" ht="18" hidden="false" customHeight="true" outlineLevel="0" collapsed="false">
      <c r="B19" s="16" t="s">
        <v>116</v>
      </c>
      <c r="C19" s="17" t="s">
        <v>45</v>
      </c>
      <c r="D19" s="18" t="s">
        <v>113</v>
      </c>
      <c r="E19" s="18" t="s">
        <v>117</v>
      </c>
      <c r="F19" s="17" t="s">
        <v>118</v>
      </c>
      <c r="G19" s="18" t="s">
        <v>56</v>
      </c>
      <c r="H19" s="18" t="n">
        <v>4.13</v>
      </c>
      <c r="I19" s="18" t="n">
        <v>500</v>
      </c>
      <c r="J19" s="18" t="n">
        <v>0.8996</v>
      </c>
      <c r="K19" s="18" t="n">
        <v>3.72</v>
      </c>
      <c r="L19" s="18" t="n">
        <v>1</v>
      </c>
      <c r="M19" s="18" t="n">
        <v>5.66</v>
      </c>
      <c r="N19" s="16"/>
    </row>
    <row r="20" customFormat="false" ht="18" hidden="false" customHeight="true" outlineLevel="0" collapsed="false">
      <c r="B20" s="19" t="s">
        <v>119</v>
      </c>
      <c r="C20" s="20" t="s">
        <v>45</v>
      </c>
      <c r="D20" s="21" t="s">
        <v>113</v>
      </c>
      <c r="E20" s="21" t="s">
        <v>120</v>
      </c>
      <c r="F20" s="20" t="s">
        <v>121</v>
      </c>
      <c r="G20" s="21" t="s">
        <v>56</v>
      </c>
      <c r="H20" s="21" t="n">
        <v>4.13</v>
      </c>
      <c r="I20" s="21" t="n">
        <v>500</v>
      </c>
      <c r="J20" s="21" t="n">
        <v>0.6545</v>
      </c>
      <c r="K20" s="21" t="n">
        <v>2.7</v>
      </c>
      <c r="L20" s="21" t="n">
        <v>1</v>
      </c>
      <c r="M20" s="21" t="n">
        <v>4.44</v>
      </c>
      <c r="N20" s="19"/>
    </row>
    <row r="21" customFormat="false" ht="18" hidden="false" customHeight="true" outlineLevel="0" collapsed="false">
      <c r="B21" s="16" t="s">
        <v>122</v>
      </c>
      <c r="C21" s="17" t="s">
        <v>123</v>
      </c>
      <c r="D21" s="18" t="s">
        <v>124</v>
      </c>
      <c r="E21" s="18" t="s">
        <v>125</v>
      </c>
      <c r="F21" s="17" t="s">
        <v>126</v>
      </c>
      <c r="G21" s="18" t="s">
        <v>56</v>
      </c>
      <c r="H21" s="18" t="n">
        <v>4.13</v>
      </c>
      <c r="I21" s="18" t="n">
        <v>518</v>
      </c>
      <c r="J21" s="18" t="n">
        <v>0.4189</v>
      </c>
      <c r="K21" s="18" t="n">
        <v>1.73</v>
      </c>
      <c r="L21" s="18" t="n">
        <v>0.97</v>
      </c>
      <c r="M21" s="18" t="n">
        <v>3.23</v>
      </c>
      <c r="N21" s="16"/>
    </row>
    <row r="22" customFormat="false" ht="18" hidden="false" customHeight="true" outlineLevel="0" collapsed="false">
      <c r="B22" s="19" t="s">
        <v>127</v>
      </c>
      <c r="C22" s="20" t="s">
        <v>91</v>
      </c>
      <c r="D22" s="21" t="s">
        <v>128</v>
      </c>
      <c r="E22" s="21" t="s">
        <v>129</v>
      </c>
      <c r="F22" s="20" t="s">
        <v>130</v>
      </c>
      <c r="G22" s="21" t="s">
        <v>131</v>
      </c>
      <c r="H22" s="21" t="n">
        <v>5.23</v>
      </c>
      <c r="I22" s="21" t="n">
        <v>2000</v>
      </c>
      <c r="J22" s="21" t="n">
        <v>1.0975</v>
      </c>
      <c r="K22" s="21" t="n">
        <v>5.74</v>
      </c>
      <c r="L22" s="21" t="n">
        <v>0.25</v>
      </c>
      <c r="M22" s="21" t="n">
        <v>7.19</v>
      </c>
      <c r="N22" s="19"/>
    </row>
    <row r="23" customFormat="false" ht="18" hidden="false" customHeight="true" outlineLevel="0" collapsed="false">
      <c r="B23" s="16" t="s">
        <v>132</v>
      </c>
      <c r="C23" s="17" t="s">
        <v>133</v>
      </c>
      <c r="D23" s="18" t="s">
        <v>128</v>
      </c>
      <c r="E23" s="18" t="s">
        <v>134</v>
      </c>
      <c r="F23" s="16" t="s">
        <v>135</v>
      </c>
      <c r="G23" s="18" t="s">
        <v>49</v>
      </c>
      <c r="H23" s="18"/>
      <c r="I23" s="18" t="n">
        <v>300</v>
      </c>
      <c r="J23" s="18"/>
      <c r="K23" s="18"/>
      <c r="L23" s="18" t="n">
        <v>1.67</v>
      </c>
      <c r="M23" s="18" t="s">
        <v>49</v>
      </c>
      <c r="N23" s="16" t="s">
        <v>81</v>
      </c>
    </row>
    <row r="24" customFormat="false" ht="18" hidden="false" customHeight="true" outlineLevel="0" collapsed="false">
      <c r="B24" s="19" t="s">
        <v>136</v>
      </c>
      <c r="C24" s="20" t="s">
        <v>137</v>
      </c>
      <c r="D24" s="21" t="s">
        <v>128</v>
      </c>
      <c r="E24" s="21" t="s">
        <v>138</v>
      </c>
      <c r="F24" s="19"/>
      <c r="G24" s="21"/>
      <c r="H24" s="21"/>
      <c r="I24" s="21" t="n">
        <v>16696</v>
      </c>
      <c r="J24" s="21"/>
      <c r="K24" s="21"/>
      <c r="L24" s="21" t="n">
        <v>0.03</v>
      </c>
      <c r="M24" s="21" t="s">
        <v>49</v>
      </c>
      <c r="N24" s="19" t="s">
        <v>50</v>
      </c>
    </row>
    <row r="25" customFormat="false" ht="18" hidden="false" customHeight="true" outlineLevel="0" collapsed="false">
      <c r="B25" s="16" t="s">
        <v>139</v>
      </c>
      <c r="C25" s="17" t="s">
        <v>137</v>
      </c>
      <c r="D25" s="18" t="s">
        <v>128</v>
      </c>
      <c r="E25" s="18" t="s">
        <v>140</v>
      </c>
      <c r="F25" s="16"/>
      <c r="G25" s="18"/>
      <c r="H25" s="18"/>
      <c r="I25" s="18" t="n">
        <v>6304</v>
      </c>
      <c r="J25" s="18"/>
      <c r="K25" s="18"/>
      <c r="L25" s="18" t="n">
        <v>0.08</v>
      </c>
      <c r="M25" s="18" t="s">
        <v>49</v>
      </c>
      <c r="N25" s="16" t="s">
        <v>50</v>
      </c>
    </row>
    <row r="26" customFormat="false" ht="18" hidden="false" customHeight="true" outlineLevel="0" collapsed="false">
      <c r="B26" s="19" t="s">
        <v>141</v>
      </c>
      <c r="C26" s="20" t="s">
        <v>137</v>
      </c>
      <c r="D26" s="21" t="s">
        <v>128</v>
      </c>
      <c r="E26" s="21" t="s">
        <v>142</v>
      </c>
      <c r="F26" s="19"/>
      <c r="G26" s="21"/>
      <c r="H26" s="21"/>
      <c r="I26" s="21" t="n">
        <v>6298</v>
      </c>
      <c r="J26" s="21"/>
      <c r="K26" s="21"/>
      <c r="L26" s="21" t="n">
        <v>0.08</v>
      </c>
      <c r="M26" s="21" t="s">
        <v>49</v>
      </c>
      <c r="N26" s="19" t="s">
        <v>50</v>
      </c>
    </row>
    <row r="27" customFormat="false" ht="18" hidden="false" customHeight="true" outlineLevel="0" collapsed="false">
      <c r="B27" s="16" t="s">
        <v>143</v>
      </c>
      <c r="C27" s="17" t="s">
        <v>137</v>
      </c>
      <c r="D27" s="18" t="s">
        <v>128</v>
      </c>
      <c r="E27" s="18" t="s">
        <v>144</v>
      </c>
      <c r="F27" s="16"/>
      <c r="G27" s="18"/>
      <c r="H27" s="18"/>
      <c r="I27" s="18" t="n">
        <v>8342</v>
      </c>
      <c r="J27" s="18"/>
      <c r="K27" s="18"/>
      <c r="L27" s="18" t="n">
        <v>0.06</v>
      </c>
      <c r="M27" s="18" t="s">
        <v>49</v>
      </c>
      <c r="N27" s="16" t="s">
        <v>50</v>
      </c>
    </row>
    <row r="28" customFormat="false" ht="18" hidden="false" customHeight="true" outlineLevel="0" collapsed="false">
      <c r="B28" s="19" t="s">
        <v>145</v>
      </c>
      <c r="C28" s="20" t="s">
        <v>146</v>
      </c>
      <c r="D28" s="21" t="s">
        <v>128</v>
      </c>
      <c r="E28" s="21" t="s">
        <v>147</v>
      </c>
      <c r="F28" s="20" t="s">
        <v>148</v>
      </c>
      <c r="G28" s="21" t="s">
        <v>43</v>
      </c>
      <c r="H28" s="21" t="n">
        <v>3.26</v>
      </c>
      <c r="I28" s="21" t="n">
        <v>1920</v>
      </c>
      <c r="J28" s="21" t="n">
        <v>0.224</v>
      </c>
      <c r="K28" s="21" t="n">
        <v>0.73</v>
      </c>
      <c r="L28" s="21" t="n">
        <v>0.26</v>
      </c>
      <c r="M28" s="21" t="n">
        <v>1.19</v>
      </c>
      <c r="N28" s="19"/>
    </row>
    <row r="29" customFormat="false" ht="18" hidden="false" customHeight="true" outlineLevel="0" collapsed="false">
      <c r="B29" s="16" t="s">
        <v>149</v>
      </c>
      <c r="C29" s="17" t="s">
        <v>146</v>
      </c>
      <c r="D29" s="18" t="s">
        <v>128</v>
      </c>
      <c r="E29" s="18" t="s">
        <v>150</v>
      </c>
      <c r="F29" s="17" t="s">
        <v>148</v>
      </c>
      <c r="G29" s="18" t="s">
        <v>43</v>
      </c>
      <c r="H29" s="18" t="n">
        <v>3.26</v>
      </c>
      <c r="I29" s="18" t="n">
        <v>1600</v>
      </c>
      <c r="J29" s="18" t="n">
        <v>0.49</v>
      </c>
      <c r="K29" s="18" t="n">
        <v>1.6</v>
      </c>
      <c r="L29" s="18" t="n">
        <v>0.31</v>
      </c>
      <c r="M29" s="18" t="n">
        <v>2.29</v>
      </c>
      <c r="N29" s="16"/>
    </row>
    <row r="30" customFormat="false" ht="18" hidden="false" customHeight="true" outlineLevel="0" collapsed="false">
      <c r="B30" s="19" t="s">
        <v>151</v>
      </c>
      <c r="C30" s="20" t="s">
        <v>146</v>
      </c>
      <c r="D30" s="21" t="s">
        <v>128</v>
      </c>
      <c r="E30" s="21" t="s">
        <v>152</v>
      </c>
      <c r="F30" s="20" t="s">
        <v>148</v>
      </c>
      <c r="G30" s="21" t="s">
        <v>43</v>
      </c>
      <c r="H30" s="21" t="n">
        <v>3.26</v>
      </c>
      <c r="I30" s="21" t="n">
        <v>1600</v>
      </c>
      <c r="J30" s="21" t="n">
        <v>0.49</v>
      </c>
      <c r="K30" s="21" t="n">
        <v>1.6</v>
      </c>
      <c r="L30" s="21" t="n">
        <v>0.31</v>
      </c>
      <c r="M30" s="21" t="n">
        <v>2.29</v>
      </c>
      <c r="N30" s="19"/>
    </row>
    <row r="31" customFormat="false" ht="18" hidden="false" customHeight="true" outlineLevel="0" collapsed="false">
      <c r="B31" s="16" t="s">
        <v>153</v>
      </c>
      <c r="C31" s="17" t="s">
        <v>146</v>
      </c>
      <c r="D31" s="18" t="s">
        <v>128</v>
      </c>
      <c r="E31" s="18" t="s">
        <v>154</v>
      </c>
      <c r="F31" s="17" t="s">
        <v>155</v>
      </c>
      <c r="G31" s="18" t="s">
        <v>56</v>
      </c>
      <c r="H31" s="18" t="n">
        <v>4.13</v>
      </c>
      <c r="I31" s="18" t="n">
        <v>320</v>
      </c>
      <c r="J31" s="18" t="n">
        <v>1.6522</v>
      </c>
      <c r="K31" s="18" t="n">
        <v>6.82</v>
      </c>
      <c r="L31" s="18" t="n">
        <v>1.56</v>
      </c>
      <c r="M31" s="18" t="n">
        <v>10.06</v>
      </c>
      <c r="N31" s="16"/>
    </row>
    <row r="32" customFormat="false" ht="18" hidden="false" customHeight="true" outlineLevel="0" collapsed="false">
      <c r="B32" s="19" t="s">
        <v>156</v>
      </c>
      <c r="C32" s="20" t="s">
        <v>157</v>
      </c>
      <c r="D32" s="21" t="s">
        <v>128</v>
      </c>
      <c r="E32" s="21" t="s">
        <v>158</v>
      </c>
      <c r="F32" s="19"/>
      <c r="G32" s="21"/>
      <c r="H32" s="21"/>
      <c r="I32" s="21" t="n">
        <v>4000</v>
      </c>
      <c r="J32" s="21"/>
      <c r="K32" s="21"/>
      <c r="L32" s="21" t="n">
        <v>0.12</v>
      </c>
      <c r="M32" s="21" t="s">
        <v>49</v>
      </c>
      <c r="N32" s="19" t="s">
        <v>50</v>
      </c>
    </row>
    <row r="33" customFormat="false" ht="18" hidden="false" customHeight="true" outlineLevel="0" collapsed="false">
      <c r="B33" s="16" t="s">
        <v>159</v>
      </c>
      <c r="C33" s="17" t="s">
        <v>157</v>
      </c>
      <c r="D33" s="18" t="s">
        <v>128</v>
      </c>
      <c r="E33" s="18" t="s">
        <v>160</v>
      </c>
      <c r="F33" s="16"/>
      <c r="G33" s="18"/>
      <c r="H33" s="18"/>
      <c r="I33" s="18" t="n">
        <v>1000</v>
      </c>
      <c r="J33" s="18"/>
      <c r="K33" s="18"/>
      <c r="L33" s="18" t="n">
        <v>0.5</v>
      </c>
      <c r="M33" s="18" t="s">
        <v>49</v>
      </c>
      <c r="N33" s="16" t="s">
        <v>50</v>
      </c>
    </row>
    <row r="34" customFormat="false" ht="18" hidden="false" customHeight="true" outlineLevel="0" collapsed="false">
      <c r="B34" s="19" t="s">
        <v>161</v>
      </c>
      <c r="C34" s="20" t="s">
        <v>137</v>
      </c>
      <c r="D34" s="21" t="s">
        <v>128</v>
      </c>
      <c r="E34" s="21" t="s">
        <v>162</v>
      </c>
      <c r="F34" s="19"/>
      <c r="G34" s="21"/>
      <c r="H34" s="21"/>
      <c r="I34" s="21" t="n">
        <v>10000</v>
      </c>
      <c r="J34" s="21"/>
      <c r="K34" s="21"/>
      <c r="L34" s="21" t="n">
        <v>0.05</v>
      </c>
      <c r="M34" s="21" t="s">
        <v>49</v>
      </c>
      <c r="N34" s="19" t="s">
        <v>50</v>
      </c>
    </row>
    <row r="35" customFormat="false" ht="18" hidden="false" customHeight="true" outlineLevel="0" collapsed="false">
      <c r="B35" s="16" t="s">
        <v>163</v>
      </c>
      <c r="C35" s="17" t="s">
        <v>91</v>
      </c>
      <c r="D35" s="18" t="s">
        <v>164</v>
      </c>
      <c r="E35" s="18" t="s">
        <v>129</v>
      </c>
      <c r="F35" s="17" t="s">
        <v>130</v>
      </c>
      <c r="G35" s="18" t="s">
        <v>131</v>
      </c>
      <c r="H35" s="18" t="n">
        <v>5.23</v>
      </c>
      <c r="I35" s="18" t="n">
        <v>1000</v>
      </c>
      <c r="J35" s="18" t="n">
        <v>1.0975</v>
      </c>
      <c r="K35" s="18" t="n">
        <v>5.74</v>
      </c>
      <c r="L35" s="18" t="n">
        <v>0.5</v>
      </c>
      <c r="M35" s="18" t="n">
        <v>7.49</v>
      </c>
      <c r="N35" s="16"/>
    </row>
    <row r="36" customFormat="false" ht="18" hidden="false" customHeight="true" outlineLevel="0" collapsed="false">
      <c r="B36" s="19" t="s">
        <v>165</v>
      </c>
      <c r="C36" s="20" t="s">
        <v>166</v>
      </c>
      <c r="D36" s="21" t="s">
        <v>164</v>
      </c>
      <c r="E36" s="21" t="s">
        <v>167</v>
      </c>
      <c r="F36" s="20" t="s">
        <v>168</v>
      </c>
      <c r="G36" s="21" t="s">
        <v>131</v>
      </c>
      <c r="H36" s="21" t="n">
        <v>5.23</v>
      </c>
      <c r="I36" s="21" t="n">
        <v>20</v>
      </c>
      <c r="J36" s="21" t="n">
        <v>3.6966</v>
      </c>
      <c r="K36" s="21" t="n">
        <v>19.33</v>
      </c>
      <c r="L36" s="21" t="n">
        <v>25</v>
      </c>
      <c r="M36" s="21" t="n">
        <v>53.2</v>
      </c>
      <c r="N36" s="19"/>
    </row>
    <row r="37" customFormat="false" ht="18" hidden="false" customHeight="true" outlineLevel="0" collapsed="false">
      <c r="B37" s="16" t="s">
        <v>169</v>
      </c>
      <c r="C37" s="17" t="s">
        <v>166</v>
      </c>
      <c r="D37" s="18" t="s">
        <v>164</v>
      </c>
      <c r="E37" s="18" t="n">
        <v>0</v>
      </c>
      <c r="F37" s="16"/>
      <c r="G37" s="18"/>
      <c r="H37" s="18"/>
      <c r="I37" s="18" t="n">
        <v>20</v>
      </c>
      <c r="J37" s="18"/>
      <c r="K37" s="18"/>
      <c r="L37" s="18" t="n">
        <v>25</v>
      </c>
      <c r="M37" s="18" t="s">
        <v>49</v>
      </c>
      <c r="N37" s="16" t="s">
        <v>50</v>
      </c>
    </row>
    <row r="38" customFormat="false" ht="18" hidden="false" customHeight="true" outlineLevel="0" collapsed="false">
      <c r="B38" s="19" t="s">
        <v>170</v>
      </c>
      <c r="C38" s="20" t="s">
        <v>166</v>
      </c>
      <c r="D38" s="21" t="s">
        <v>164</v>
      </c>
      <c r="E38" s="21" t="n">
        <v>0</v>
      </c>
      <c r="F38" s="19"/>
      <c r="G38" s="21"/>
      <c r="H38" s="21"/>
      <c r="I38" s="21" t="n">
        <v>20</v>
      </c>
      <c r="J38" s="21"/>
      <c r="K38" s="21"/>
      <c r="L38" s="21" t="n">
        <v>25</v>
      </c>
      <c r="M38" s="21" t="s">
        <v>49</v>
      </c>
      <c r="N38" s="19" t="s">
        <v>50</v>
      </c>
    </row>
    <row r="39" customFormat="false" ht="18" hidden="false" customHeight="true" outlineLevel="0" collapsed="false">
      <c r="B39" s="16" t="s">
        <v>171</v>
      </c>
      <c r="C39" s="17" t="s">
        <v>166</v>
      </c>
      <c r="D39" s="18" t="s">
        <v>164</v>
      </c>
      <c r="E39" s="18" t="n">
        <v>0</v>
      </c>
      <c r="F39" s="16"/>
      <c r="G39" s="18"/>
      <c r="H39" s="18"/>
      <c r="I39" s="18" t="n">
        <v>80</v>
      </c>
      <c r="J39" s="18"/>
      <c r="K39" s="18"/>
      <c r="L39" s="18" t="n">
        <v>6.25</v>
      </c>
      <c r="M39" s="18" t="s">
        <v>49</v>
      </c>
      <c r="N39" s="16" t="s">
        <v>50</v>
      </c>
    </row>
    <row r="40" customFormat="false" ht="18" hidden="false" customHeight="true" outlineLevel="0" collapsed="false">
      <c r="B40" s="19" t="s">
        <v>172</v>
      </c>
      <c r="C40" s="20" t="s">
        <v>166</v>
      </c>
      <c r="D40" s="21" t="s">
        <v>164</v>
      </c>
      <c r="E40" s="21" t="s">
        <v>173</v>
      </c>
      <c r="F40" s="20" t="s">
        <v>174</v>
      </c>
      <c r="G40" s="21" t="s">
        <v>65</v>
      </c>
      <c r="H40" s="21" t="n">
        <v>4.58</v>
      </c>
      <c r="I40" s="21" t="n">
        <v>20</v>
      </c>
      <c r="J40" s="21" t="n">
        <v>0.8702</v>
      </c>
      <c r="K40" s="21" t="n">
        <v>3.99</v>
      </c>
      <c r="L40" s="21" t="n">
        <v>25</v>
      </c>
      <c r="M40" s="21" t="n">
        <v>34.78</v>
      </c>
      <c r="N40" s="19"/>
    </row>
    <row r="41" customFormat="false" ht="18" hidden="false" customHeight="true" outlineLevel="0" collapsed="false">
      <c r="B41" s="16" t="s">
        <v>175</v>
      </c>
      <c r="C41" s="17" t="s">
        <v>101</v>
      </c>
      <c r="D41" s="18" t="s">
        <v>176</v>
      </c>
      <c r="E41" s="18" t="s">
        <v>177</v>
      </c>
      <c r="F41" s="17" t="s">
        <v>178</v>
      </c>
      <c r="G41" s="18" t="s">
        <v>43</v>
      </c>
      <c r="H41" s="18" t="n">
        <v>3.26</v>
      </c>
      <c r="I41" s="18" t="n">
        <v>1000</v>
      </c>
      <c r="J41" s="18" t="n">
        <v>0.5168</v>
      </c>
      <c r="K41" s="18" t="n">
        <v>1.68</v>
      </c>
      <c r="L41" s="18" t="n">
        <v>0.5</v>
      </c>
      <c r="M41" s="18" t="n">
        <v>2.62</v>
      </c>
      <c r="N41" s="16"/>
    </row>
    <row r="42" customFormat="false" ht="18" hidden="false" customHeight="true" outlineLevel="0" collapsed="false">
      <c r="B42" s="19" t="s">
        <v>179</v>
      </c>
      <c r="C42" s="20" t="s">
        <v>101</v>
      </c>
      <c r="D42" s="21" t="s">
        <v>176</v>
      </c>
      <c r="E42" s="21" t="s">
        <v>180</v>
      </c>
      <c r="F42" s="20" t="s">
        <v>178</v>
      </c>
      <c r="G42" s="21" t="s">
        <v>43</v>
      </c>
      <c r="H42" s="21" t="n">
        <v>3.26</v>
      </c>
      <c r="I42" s="21" t="n">
        <v>1000</v>
      </c>
      <c r="J42" s="21" t="n">
        <v>0.5168</v>
      </c>
      <c r="K42" s="21" t="n">
        <v>1.68</v>
      </c>
      <c r="L42" s="21" t="n">
        <v>0.5</v>
      </c>
      <c r="M42" s="21" t="n">
        <v>2.62</v>
      </c>
      <c r="N42" s="19"/>
    </row>
    <row r="43" customFormat="false" ht="18" hidden="false" customHeight="true" outlineLevel="0" collapsed="false">
      <c r="B43" s="16" t="s">
        <v>181</v>
      </c>
      <c r="C43" s="17" t="s">
        <v>166</v>
      </c>
      <c r="D43" s="18" t="s">
        <v>164</v>
      </c>
      <c r="E43" s="18" t="n">
        <v>0</v>
      </c>
      <c r="F43" s="16"/>
      <c r="G43" s="18"/>
      <c r="H43" s="18"/>
      <c r="I43" s="18" t="n">
        <v>20</v>
      </c>
      <c r="J43" s="18"/>
      <c r="K43" s="18"/>
      <c r="L43" s="18" t="n">
        <v>25</v>
      </c>
      <c r="M43" s="18" t="s">
        <v>49</v>
      </c>
      <c r="N43" s="16" t="s">
        <v>50</v>
      </c>
    </row>
    <row r="44" customFormat="false" ht="18" hidden="false" customHeight="true" outlineLevel="0" collapsed="false">
      <c r="B44" s="19" t="s">
        <v>182</v>
      </c>
      <c r="C44" s="20" t="s">
        <v>166</v>
      </c>
      <c r="D44" s="21" t="s">
        <v>164</v>
      </c>
      <c r="E44" s="21" t="n">
        <v>0</v>
      </c>
      <c r="F44" s="19"/>
      <c r="G44" s="21"/>
      <c r="H44" s="21"/>
      <c r="I44" s="21" t="n">
        <v>20</v>
      </c>
      <c r="J44" s="21"/>
      <c r="K44" s="21"/>
      <c r="L44" s="21" t="n">
        <v>25</v>
      </c>
      <c r="M44" s="21" t="s">
        <v>49</v>
      </c>
      <c r="N44" s="19" t="s">
        <v>50</v>
      </c>
    </row>
    <row r="45" customFormat="false" ht="18" hidden="false" customHeight="true" outlineLevel="0" collapsed="false">
      <c r="B45" s="16" t="s">
        <v>183</v>
      </c>
      <c r="C45" s="17" t="s">
        <v>166</v>
      </c>
      <c r="D45" s="18" t="s">
        <v>164</v>
      </c>
      <c r="E45" s="18" t="n">
        <v>0</v>
      </c>
      <c r="F45" s="16"/>
      <c r="G45" s="18"/>
      <c r="H45" s="18"/>
      <c r="I45" s="18" t="n">
        <v>20</v>
      </c>
      <c r="J45" s="18"/>
      <c r="K45" s="18"/>
      <c r="L45" s="18" t="n">
        <v>25</v>
      </c>
      <c r="M45" s="18" t="s">
        <v>49</v>
      </c>
      <c r="N45" s="16" t="s">
        <v>50</v>
      </c>
    </row>
    <row r="46" customFormat="false" ht="18" hidden="false" customHeight="true" outlineLevel="0" collapsed="false">
      <c r="B46" s="19" t="s">
        <v>184</v>
      </c>
      <c r="C46" s="20" t="s">
        <v>185</v>
      </c>
      <c r="D46" s="21" t="s">
        <v>164</v>
      </c>
      <c r="E46" s="21" t="s">
        <v>186</v>
      </c>
      <c r="F46" s="19" t="s">
        <v>187</v>
      </c>
      <c r="G46" s="21" t="s">
        <v>43</v>
      </c>
      <c r="H46" s="21" t="n">
        <v>3.26</v>
      </c>
      <c r="I46" s="21" t="n">
        <v>3100</v>
      </c>
      <c r="J46" s="21" t="n">
        <v>1.3125</v>
      </c>
      <c r="K46" s="21" t="n">
        <v>4.28</v>
      </c>
      <c r="L46" s="21" t="n">
        <v>0.16</v>
      </c>
      <c r="M46" s="21" t="n">
        <v>5.33</v>
      </c>
      <c r="N46" s="19"/>
    </row>
    <row r="47" customFormat="false" ht="18" hidden="false" customHeight="true" outlineLevel="0" collapsed="false">
      <c r="B47" s="16" t="s">
        <v>188</v>
      </c>
      <c r="C47" s="17" t="s">
        <v>101</v>
      </c>
      <c r="D47" s="18" t="s">
        <v>164</v>
      </c>
      <c r="E47" s="18" t="s">
        <v>189</v>
      </c>
      <c r="F47" s="17" t="s">
        <v>190</v>
      </c>
      <c r="G47" s="18" t="s">
        <v>43</v>
      </c>
      <c r="H47" s="18" t="n">
        <v>3.26</v>
      </c>
      <c r="I47" s="18" t="n">
        <v>50000</v>
      </c>
      <c r="J47" s="18" t="n">
        <v>0.7</v>
      </c>
      <c r="K47" s="18" t="n">
        <v>2.28</v>
      </c>
      <c r="L47" s="18" t="n">
        <v>0.01</v>
      </c>
      <c r="M47" s="18" t="n">
        <v>2.75</v>
      </c>
      <c r="N47" s="16"/>
    </row>
    <row r="48" customFormat="false" ht="18" hidden="false" customHeight="true" outlineLevel="0" collapsed="false">
      <c r="B48" s="19" t="s">
        <v>191</v>
      </c>
      <c r="C48" s="20" t="s">
        <v>52</v>
      </c>
      <c r="D48" s="21" t="s">
        <v>192</v>
      </c>
      <c r="E48" s="21" t="s">
        <v>193</v>
      </c>
      <c r="F48" s="19"/>
      <c r="G48" s="21"/>
      <c r="H48" s="21"/>
      <c r="I48" s="21" t="n">
        <v>200</v>
      </c>
      <c r="J48" s="21"/>
      <c r="K48" s="21"/>
      <c r="L48" s="21" t="n">
        <v>2.5</v>
      </c>
      <c r="M48" s="21" t="s">
        <v>49</v>
      </c>
      <c r="N48" s="19" t="s">
        <v>50</v>
      </c>
    </row>
    <row r="49" customFormat="false" ht="18" hidden="false" customHeight="true" outlineLevel="0" collapsed="false">
      <c r="B49" s="16" t="s">
        <v>194</v>
      </c>
      <c r="C49" s="17" t="s">
        <v>52</v>
      </c>
      <c r="D49" s="18" t="s">
        <v>192</v>
      </c>
      <c r="E49" s="18" t="s">
        <v>195</v>
      </c>
      <c r="F49" s="16"/>
      <c r="G49" s="18"/>
      <c r="H49" s="18"/>
      <c r="I49" s="18" t="n">
        <v>300</v>
      </c>
      <c r="J49" s="18"/>
      <c r="K49" s="18"/>
      <c r="L49" s="18" t="n">
        <v>1.67</v>
      </c>
      <c r="M49" s="18" t="s">
        <v>49</v>
      </c>
      <c r="N49" s="16" t="s">
        <v>50</v>
      </c>
    </row>
    <row r="50" customFormat="false" ht="18" hidden="false" customHeight="true" outlineLevel="0" collapsed="false">
      <c r="B50" s="19" t="s">
        <v>196</v>
      </c>
      <c r="C50" s="20" t="s">
        <v>52</v>
      </c>
      <c r="D50" s="21" t="s">
        <v>192</v>
      </c>
      <c r="E50" s="21" t="s">
        <v>197</v>
      </c>
      <c r="F50" s="19"/>
      <c r="G50" s="21"/>
      <c r="H50" s="21"/>
      <c r="I50" s="21" t="n">
        <v>300</v>
      </c>
      <c r="J50" s="21"/>
      <c r="K50" s="21"/>
      <c r="L50" s="21" t="n">
        <v>1.67</v>
      </c>
      <c r="M50" s="21" t="s">
        <v>49</v>
      </c>
      <c r="N50" s="19" t="s">
        <v>50</v>
      </c>
    </row>
    <row r="51" customFormat="false" ht="18" hidden="false" customHeight="true" outlineLevel="0" collapsed="false">
      <c r="B51" s="16" t="s">
        <v>198</v>
      </c>
      <c r="C51" s="17" t="s">
        <v>52</v>
      </c>
      <c r="D51" s="18" t="s">
        <v>199</v>
      </c>
      <c r="E51" s="18" t="s">
        <v>200</v>
      </c>
      <c r="F51" s="17" t="s">
        <v>55</v>
      </c>
      <c r="G51" s="18" t="s">
        <v>56</v>
      </c>
      <c r="H51" s="18" t="n">
        <v>4.13</v>
      </c>
      <c r="I51" s="18" t="n">
        <v>500</v>
      </c>
      <c r="J51" s="18" t="n">
        <v>0.7156</v>
      </c>
      <c r="K51" s="18" t="n">
        <v>2.96</v>
      </c>
      <c r="L51" s="18" t="n">
        <v>1</v>
      </c>
      <c r="M51" s="18" t="n">
        <v>4.75</v>
      </c>
      <c r="N51" s="16"/>
    </row>
    <row r="52" customFormat="false" ht="18" hidden="false" customHeight="true" outlineLevel="0" collapsed="false">
      <c r="B52" s="19" t="s">
        <v>201</v>
      </c>
      <c r="C52" s="20" t="s">
        <v>52</v>
      </c>
      <c r="D52" s="21" t="s">
        <v>199</v>
      </c>
      <c r="E52" s="21" t="s">
        <v>202</v>
      </c>
      <c r="F52" s="20" t="s">
        <v>55</v>
      </c>
      <c r="G52" s="21" t="s">
        <v>56</v>
      </c>
      <c r="H52" s="21" t="n">
        <v>4.13</v>
      </c>
      <c r="I52" s="21" t="n">
        <v>1000</v>
      </c>
      <c r="J52" s="21" t="n">
        <v>0.7663</v>
      </c>
      <c r="K52" s="21" t="n">
        <v>3.16</v>
      </c>
      <c r="L52" s="21" t="n">
        <v>0.5</v>
      </c>
      <c r="M52" s="21" t="n">
        <v>4.4</v>
      </c>
      <c r="N52" s="19"/>
    </row>
    <row r="53" customFormat="false" ht="18" hidden="false" customHeight="true" outlineLevel="0" collapsed="false">
      <c r="B53" s="16" t="s">
        <v>203</v>
      </c>
      <c r="C53" s="17" t="s">
        <v>204</v>
      </c>
      <c r="D53" s="18" t="s">
        <v>205</v>
      </c>
      <c r="E53" s="18" t="n">
        <v>0</v>
      </c>
      <c r="F53" s="16"/>
      <c r="G53" s="18"/>
      <c r="H53" s="18"/>
      <c r="I53" s="18" t="n">
        <v>3</v>
      </c>
      <c r="J53" s="18"/>
      <c r="K53" s="18"/>
      <c r="L53" s="18" t="n">
        <v>166.67</v>
      </c>
      <c r="M53" s="18" t="s">
        <v>49</v>
      </c>
      <c r="N53" s="16" t="s">
        <v>50</v>
      </c>
    </row>
    <row r="54" customFormat="false" ht="18" hidden="false" customHeight="true" outlineLevel="0" collapsed="false">
      <c r="B54" s="19" t="s">
        <v>206</v>
      </c>
      <c r="C54" s="20" t="s">
        <v>204</v>
      </c>
      <c r="D54" s="21" t="s">
        <v>205</v>
      </c>
      <c r="E54" s="21" t="s">
        <v>207</v>
      </c>
      <c r="F54" s="19"/>
      <c r="G54" s="21"/>
      <c r="H54" s="21"/>
      <c r="I54" s="21" t="n">
        <v>500</v>
      </c>
      <c r="J54" s="21"/>
      <c r="K54" s="21"/>
      <c r="L54" s="21" t="n">
        <v>1</v>
      </c>
      <c r="M54" s="21" t="s">
        <v>49</v>
      </c>
      <c r="N54" s="19" t="s">
        <v>50</v>
      </c>
    </row>
    <row r="55" customFormat="false" ht="18" hidden="false" customHeight="true" outlineLevel="0" collapsed="false">
      <c r="B55" s="16" t="s">
        <v>208</v>
      </c>
      <c r="C55" s="17" t="s">
        <v>72</v>
      </c>
      <c r="D55" s="18" t="s">
        <v>205</v>
      </c>
      <c r="E55" s="18" t="s">
        <v>209</v>
      </c>
      <c r="F55" s="17" t="s">
        <v>210</v>
      </c>
      <c r="G55" s="18" t="s">
        <v>43</v>
      </c>
      <c r="H55" s="18" t="n">
        <v>3.26</v>
      </c>
      <c r="I55" s="18" t="n">
        <v>1510</v>
      </c>
      <c r="J55" s="18" t="n">
        <v>0.7086</v>
      </c>
      <c r="K55" s="18" t="n">
        <v>2.31</v>
      </c>
      <c r="L55" s="18" t="n">
        <v>0.33</v>
      </c>
      <c r="M55" s="18" t="n">
        <v>3.17</v>
      </c>
      <c r="N55" s="16"/>
    </row>
    <row r="56" customFormat="false" ht="18" hidden="false" customHeight="true" outlineLevel="0" collapsed="false">
      <c r="B56" s="19" t="s">
        <v>211</v>
      </c>
      <c r="C56" s="20" t="s">
        <v>83</v>
      </c>
      <c r="D56" s="21" t="s">
        <v>212</v>
      </c>
      <c r="E56" s="21" t="s">
        <v>213</v>
      </c>
      <c r="F56" s="20" t="s">
        <v>214</v>
      </c>
      <c r="G56" s="21" t="s">
        <v>65</v>
      </c>
      <c r="H56" s="21" t="n">
        <v>4.58</v>
      </c>
      <c r="I56" s="21" t="n">
        <v>4200</v>
      </c>
      <c r="J56" s="21" t="n">
        <v>1.3147</v>
      </c>
      <c r="K56" s="21" t="n">
        <v>6.02</v>
      </c>
      <c r="L56" s="21" t="n">
        <v>0.12</v>
      </c>
      <c r="M56" s="21" t="n">
        <v>7.37</v>
      </c>
      <c r="N56" s="19"/>
    </row>
    <row r="57" customFormat="false" ht="18" hidden="false" customHeight="true" outlineLevel="0" collapsed="false">
      <c r="B57" s="16" t="s">
        <v>215</v>
      </c>
      <c r="C57" s="17" t="s">
        <v>83</v>
      </c>
      <c r="D57" s="18" t="s">
        <v>212</v>
      </c>
      <c r="E57" s="18" t="s">
        <v>216</v>
      </c>
      <c r="F57" s="17" t="s">
        <v>190</v>
      </c>
      <c r="G57" s="18" t="s">
        <v>43</v>
      </c>
      <c r="H57" s="18" t="n">
        <v>3.26</v>
      </c>
      <c r="I57" s="18" t="n">
        <v>8400</v>
      </c>
      <c r="J57" s="18" t="n">
        <v>0.2059</v>
      </c>
      <c r="K57" s="18" t="n">
        <v>0.67</v>
      </c>
      <c r="L57" s="18" t="n">
        <v>0.06</v>
      </c>
      <c r="M57" s="18" t="n">
        <v>0.88</v>
      </c>
      <c r="N57" s="16"/>
    </row>
    <row r="58" customFormat="false" ht="18" hidden="false" customHeight="true" outlineLevel="0" collapsed="false">
      <c r="B58" s="19" t="s">
        <v>217</v>
      </c>
      <c r="C58" s="20" t="s">
        <v>218</v>
      </c>
      <c r="D58" s="21" t="s">
        <v>205</v>
      </c>
      <c r="E58" s="21" t="s">
        <v>219</v>
      </c>
      <c r="F58" s="20" t="s">
        <v>220</v>
      </c>
      <c r="G58" s="21" t="s">
        <v>56</v>
      </c>
      <c r="H58" s="21" t="n">
        <v>4.13</v>
      </c>
      <c r="I58" s="21" t="n">
        <v>387</v>
      </c>
      <c r="J58" s="21" t="n">
        <v>0.8797</v>
      </c>
      <c r="K58" s="21" t="n">
        <v>3.63</v>
      </c>
      <c r="L58" s="21" t="n">
        <v>1.29</v>
      </c>
      <c r="M58" s="21" t="n">
        <v>5.91</v>
      </c>
      <c r="N58" s="19"/>
    </row>
    <row r="59" customFormat="false" ht="18" hidden="false" customHeight="true" outlineLevel="0" collapsed="false">
      <c r="B59" s="16" t="s">
        <v>221</v>
      </c>
      <c r="C59" s="17" t="s">
        <v>218</v>
      </c>
      <c r="D59" s="18" t="s">
        <v>205</v>
      </c>
      <c r="E59" s="18" t="s">
        <v>222</v>
      </c>
      <c r="F59" s="17" t="s">
        <v>190</v>
      </c>
      <c r="G59" s="18" t="s">
        <v>43</v>
      </c>
      <c r="H59" s="18" t="n">
        <v>3.26</v>
      </c>
      <c r="I59" s="18" t="n">
        <v>840</v>
      </c>
      <c r="J59" s="18" t="n">
        <v>0.5082</v>
      </c>
      <c r="K59" s="18" t="n">
        <v>1.66</v>
      </c>
      <c r="L59" s="18" t="n">
        <v>0.6</v>
      </c>
      <c r="M59" s="18" t="n">
        <v>2.7</v>
      </c>
      <c r="N59" s="16"/>
    </row>
    <row r="60" customFormat="false" ht="18" hidden="false" customHeight="true" outlineLevel="0" collapsed="false">
      <c r="B60" s="19" t="s">
        <v>223</v>
      </c>
      <c r="C60" s="20" t="s">
        <v>224</v>
      </c>
      <c r="D60" s="21" t="s">
        <v>205</v>
      </c>
      <c r="E60" s="21" t="s">
        <v>225</v>
      </c>
      <c r="F60" s="20" t="s">
        <v>226</v>
      </c>
      <c r="G60" s="21" t="s">
        <v>56</v>
      </c>
      <c r="H60" s="21" t="n">
        <v>4.13</v>
      </c>
      <c r="I60" s="21" t="n">
        <v>100</v>
      </c>
      <c r="J60" s="21" t="n">
        <v>0.8755</v>
      </c>
      <c r="K60" s="21" t="n">
        <v>3.62</v>
      </c>
      <c r="L60" s="21" t="n">
        <v>5</v>
      </c>
      <c r="M60" s="21" t="n">
        <v>10.34</v>
      </c>
      <c r="N60" s="19"/>
    </row>
    <row r="61" customFormat="false" ht="18" hidden="false" customHeight="true" outlineLevel="0" collapsed="false">
      <c r="B61" s="16" t="s">
        <v>227</v>
      </c>
      <c r="C61" s="17" t="s">
        <v>224</v>
      </c>
      <c r="D61" s="18" t="s">
        <v>205</v>
      </c>
      <c r="E61" s="18" t="s">
        <v>228</v>
      </c>
      <c r="F61" s="17" t="s">
        <v>229</v>
      </c>
      <c r="G61" s="18" t="s">
        <v>56</v>
      </c>
      <c r="H61" s="18" t="n">
        <v>4.13</v>
      </c>
      <c r="I61" s="18" t="n">
        <v>500</v>
      </c>
      <c r="J61" s="18" t="n">
        <v>0.7308</v>
      </c>
      <c r="K61" s="18" t="n">
        <v>3.02</v>
      </c>
      <c r="L61" s="18" t="n">
        <v>1</v>
      </c>
      <c r="M61" s="18" t="n">
        <v>4.82</v>
      </c>
      <c r="N61" s="16"/>
    </row>
    <row r="62" customFormat="false" ht="18" hidden="false" customHeight="true" outlineLevel="0" collapsed="false">
      <c r="B62" s="19" t="s">
        <v>230</v>
      </c>
      <c r="C62" s="20" t="s">
        <v>231</v>
      </c>
      <c r="D62" s="21" t="s">
        <v>232</v>
      </c>
      <c r="E62" s="21" t="s">
        <v>233</v>
      </c>
      <c r="F62" s="19" t="s">
        <v>234</v>
      </c>
      <c r="G62" s="21" t="s">
        <v>43</v>
      </c>
      <c r="H62" s="21" t="n">
        <v>3.26</v>
      </c>
      <c r="I62" s="21" t="n">
        <v>1000</v>
      </c>
      <c r="J62" s="21" t="n">
        <v>0.1488</v>
      </c>
      <c r="K62" s="21" t="n">
        <v>0.49</v>
      </c>
      <c r="L62" s="21" t="n">
        <v>0.5</v>
      </c>
      <c r="M62" s="21" t="n">
        <v>1.18</v>
      </c>
      <c r="N62" s="19"/>
    </row>
    <row r="63" customFormat="false" ht="18" hidden="false" customHeight="true" outlineLevel="0" collapsed="false">
      <c r="B63" s="16" t="s">
        <v>235</v>
      </c>
      <c r="C63" s="17" t="s">
        <v>236</v>
      </c>
      <c r="D63" s="18" t="s">
        <v>232</v>
      </c>
      <c r="E63" s="18" t="s">
        <v>237</v>
      </c>
      <c r="F63" s="17" t="s">
        <v>238</v>
      </c>
      <c r="G63" s="18" t="s">
        <v>43</v>
      </c>
      <c r="H63" s="18" t="n">
        <v>3.26</v>
      </c>
      <c r="I63" s="18" t="n">
        <v>6</v>
      </c>
      <c r="J63" s="18" t="n">
        <v>1.4753</v>
      </c>
      <c r="K63" s="18" t="n">
        <v>4.81</v>
      </c>
      <c r="L63" s="18" t="n">
        <v>83.33</v>
      </c>
      <c r="M63" s="18" t="n">
        <v>105.77</v>
      </c>
      <c r="N63" s="16"/>
    </row>
    <row r="64" customFormat="false" ht="18" hidden="false" customHeight="true" outlineLevel="0" collapsed="false">
      <c r="B64" s="19" t="s">
        <v>239</v>
      </c>
      <c r="C64" s="20" t="s">
        <v>83</v>
      </c>
      <c r="D64" s="21" t="s">
        <v>232</v>
      </c>
      <c r="E64" s="21" t="s">
        <v>240</v>
      </c>
      <c r="F64" s="19" t="s">
        <v>86</v>
      </c>
      <c r="G64" s="21" t="s">
        <v>49</v>
      </c>
      <c r="H64" s="21"/>
      <c r="I64" s="21" t="n">
        <v>4900</v>
      </c>
      <c r="J64" s="21" t="n">
        <v>0.151</v>
      </c>
      <c r="K64" s="21"/>
      <c r="L64" s="21" t="n">
        <v>0.1</v>
      </c>
      <c r="M64" s="21" t="s">
        <v>49</v>
      </c>
      <c r="N64" s="19" t="s">
        <v>81</v>
      </c>
    </row>
    <row r="65" customFormat="false" ht="18" hidden="false" customHeight="true" outlineLevel="0" collapsed="false">
      <c r="B65" s="16" t="s">
        <v>241</v>
      </c>
      <c r="C65" s="17" t="s">
        <v>83</v>
      </c>
      <c r="D65" s="18" t="s">
        <v>232</v>
      </c>
      <c r="E65" s="18" t="s">
        <v>242</v>
      </c>
      <c r="F65" s="17" t="s">
        <v>64</v>
      </c>
      <c r="G65" s="18" t="s">
        <v>65</v>
      </c>
      <c r="H65" s="18" t="n">
        <v>4.58</v>
      </c>
      <c r="I65" s="18" t="n">
        <v>2450</v>
      </c>
      <c r="J65" s="18" t="n">
        <v>0.8953</v>
      </c>
      <c r="K65" s="18" t="n">
        <v>4.1</v>
      </c>
      <c r="L65" s="18" t="n">
        <v>0.2</v>
      </c>
      <c r="M65" s="18" t="n">
        <v>5.17</v>
      </c>
      <c r="N65" s="16"/>
    </row>
    <row r="66" customFormat="false" ht="18" hidden="false" customHeight="true" outlineLevel="0" collapsed="false">
      <c r="B66" s="19" t="s">
        <v>181</v>
      </c>
      <c r="C66" s="20" t="s">
        <v>166</v>
      </c>
      <c r="D66" s="21" t="s">
        <v>164</v>
      </c>
      <c r="E66" s="21" t="n">
        <v>0</v>
      </c>
      <c r="F66" s="19"/>
      <c r="G66" s="21"/>
      <c r="H66" s="21"/>
      <c r="I66" s="21" t="n">
        <v>20</v>
      </c>
      <c r="J66" s="21"/>
      <c r="K66" s="21"/>
      <c r="L66" s="21" t="n">
        <v>25</v>
      </c>
      <c r="M66" s="21" t="s">
        <v>49</v>
      </c>
      <c r="N66" s="19" t="s">
        <v>50</v>
      </c>
    </row>
    <row r="67" customFormat="false" ht="18" hidden="false" customHeight="true" outlineLevel="0" collapsed="false">
      <c r="B67" s="16" t="s">
        <v>243</v>
      </c>
      <c r="C67" s="17" t="s">
        <v>39</v>
      </c>
      <c r="D67" s="18" t="s">
        <v>232</v>
      </c>
      <c r="E67" s="18" t="s">
        <v>244</v>
      </c>
      <c r="F67" s="16" t="s">
        <v>245</v>
      </c>
      <c r="G67" s="18" t="s">
        <v>43</v>
      </c>
      <c r="H67" s="18" t="n">
        <v>3.26</v>
      </c>
      <c r="I67" s="18" t="n">
        <v>500</v>
      </c>
      <c r="J67" s="18" t="n">
        <v>0.9278</v>
      </c>
      <c r="K67" s="18" t="n">
        <v>3.02</v>
      </c>
      <c r="L67" s="18" t="n">
        <v>1</v>
      </c>
      <c r="M67" s="18" t="n">
        <v>4.83</v>
      </c>
      <c r="N67" s="16"/>
    </row>
    <row r="68" customFormat="false" ht="18" hidden="false" customHeight="true" outlineLevel="0" collapsed="false">
      <c r="B68" s="19" t="s">
        <v>246</v>
      </c>
      <c r="C68" s="20" t="s">
        <v>39</v>
      </c>
      <c r="D68" s="21" t="s">
        <v>232</v>
      </c>
      <c r="E68" s="21" t="s">
        <v>247</v>
      </c>
      <c r="F68" s="19" t="s">
        <v>245</v>
      </c>
      <c r="G68" s="21" t="s">
        <v>43</v>
      </c>
      <c r="H68" s="21" t="n">
        <v>3.26</v>
      </c>
      <c r="I68" s="21" t="n">
        <v>1000</v>
      </c>
      <c r="J68" s="21" t="n">
        <v>1.1134</v>
      </c>
      <c r="K68" s="21" t="n">
        <v>3.63</v>
      </c>
      <c r="L68" s="21" t="n">
        <v>0.5</v>
      </c>
      <c r="M68" s="21" t="n">
        <v>4.96</v>
      </c>
      <c r="N68" s="19"/>
    </row>
    <row r="69" customFormat="false" ht="18" hidden="false" customHeight="true" outlineLevel="0" collapsed="false">
      <c r="B69" s="16" t="s">
        <v>248</v>
      </c>
      <c r="C69" s="17" t="s">
        <v>39</v>
      </c>
      <c r="D69" s="18" t="s">
        <v>232</v>
      </c>
      <c r="E69" s="18" t="s">
        <v>249</v>
      </c>
      <c r="F69" s="16" t="s">
        <v>245</v>
      </c>
      <c r="G69" s="18" t="s">
        <v>43</v>
      </c>
      <c r="H69" s="18" t="n">
        <v>3.26</v>
      </c>
      <c r="I69" s="18" t="n">
        <v>1000</v>
      </c>
      <c r="J69" s="18" t="n">
        <v>0.6257</v>
      </c>
      <c r="K69" s="18" t="n">
        <v>2.04</v>
      </c>
      <c r="L69" s="18" t="n">
        <v>0.5</v>
      </c>
      <c r="M69" s="18" t="n">
        <v>3.05</v>
      </c>
      <c r="N69" s="16"/>
    </row>
    <row r="70" customFormat="false" ht="18" hidden="false" customHeight="true" outlineLevel="0" collapsed="false">
      <c r="B70" s="19" t="s">
        <v>250</v>
      </c>
      <c r="C70" s="20" t="s">
        <v>39</v>
      </c>
      <c r="D70" s="21" t="s">
        <v>232</v>
      </c>
      <c r="E70" s="21" t="s">
        <v>251</v>
      </c>
      <c r="F70" s="19" t="s">
        <v>245</v>
      </c>
      <c r="G70" s="21" t="s">
        <v>43</v>
      </c>
      <c r="H70" s="21" t="n">
        <v>3.26</v>
      </c>
      <c r="I70" s="21" t="n">
        <v>500</v>
      </c>
      <c r="J70" s="21" t="n">
        <v>0.8614</v>
      </c>
      <c r="K70" s="21" t="n">
        <v>2.81</v>
      </c>
      <c r="L70" s="21" t="n">
        <v>1</v>
      </c>
      <c r="M70" s="21" t="n">
        <v>4.57</v>
      </c>
      <c r="N70" s="19"/>
    </row>
    <row r="71" customFormat="false" ht="18" hidden="false" customHeight="true" outlineLevel="0" collapsed="false">
      <c r="B71" s="16" t="s">
        <v>252</v>
      </c>
      <c r="C71" s="17" t="s">
        <v>166</v>
      </c>
      <c r="D71" s="18" t="s">
        <v>164</v>
      </c>
      <c r="E71" s="18" t="n">
        <v>0</v>
      </c>
      <c r="F71" s="16"/>
      <c r="G71" s="18"/>
      <c r="H71" s="18"/>
      <c r="I71" s="18" t="n">
        <v>36</v>
      </c>
      <c r="J71" s="18"/>
      <c r="K71" s="18"/>
      <c r="L71" s="18" t="n">
        <v>13.89</v>
      </c>
      <c r="M71" s="18" t="s">
        <v>49</v>
      </c>
      <c r="N71" s="16" t="s">
        <v>50</v>
      </c>
    </row>
    <row r="72" customFormat="false" ht="18" hidden="false" customHeight="true" outlineLevel="0" collapsed="false">
      <c r="B72" s="19" t="s">
        <v>253</v>
      </c>
      <c r="C72" s="20" t="s">
        <v>166</v>
      </c>
      <c r="D72" s="21" t="s">
        <v>164</v>
      </c>
      <c r="E72" s="21" t="n">
        <v>0</v>
      </c>
      <c r="F72" s="19"/>
      <c r="G72" s="21"/>
      <c r="H72" s="21"/>
      <c r="I72" s="21" t="n">
        <v>2</v>
      </c>
      <c r="J72" s="21"/>
      <c r="K72" s="21"/>
      <c r="L72" s="21" t="n">
        <v>250</v>
      </c>
      <c r="M72" s="21" t="s">
        <v>49</v>
      </c>
      <c r="N72" s="19" t="s">
        <v>50</v>
      </c>
    </row>
    <row r="73" customFormat="false" ht="18" hidden="false" customHeight="true" outlineLevel="0" collapsed="false">
      <c r="B73" s="16" t="s">
        <v>254</v>
      </c>
      <c r="C73" s="17" t="s">
        <v>255</v>
      </c>
      <c r="D73" s="18" t="s">
        <v>232</v>
      </c>
      <c r="E73" s="18" t="s">
        <v>256</v>
      </c>
      <c r="F73" s="17" t="s">
        <v>257</v>
      </c>
      <c r="G73" s="18" t="s">
        <v>56</v>
      </c>
      <c r="H73" s="18" t="n">
        <v>4.13</v>
      </c>
      <c r="I73" s="18" t="n">
        <v>45</v>
      </c>
      <c r="J73" s="18" t="n">
        <v>0.2558</v>
      </c>
      <c r="K73" s="18" t="n">
        <v>1.06</v>
      </c>
      <c r="L73" s="18" t="n">
        <v>11.11</v>
      </c>
      <c r="M73" s="18" t="n">
        <v>14.6</v>
      </c>
      <c r="N73" s="16"/>
    </row>
    <row r="74" customFormat="false" ht="18" hidden="false" customHeight="true" outlineLevel="0" collapsed="false">
      <c r="B74" s="19" t="s">
        <v>258</v>
      </c>
      <c r="C74" s="20" t="s">
        <v>255</v>
      </c>
      <c r="D74" s="21" t="s">
        <v>232</v>
      </c>
      <c r="E74" s="21" t="s">
        <v>259</v>
      </c>
      <c r="F74" s="20" t="s">
        <v>118</v>
      </c>
      <c r="G74" s="21" t="s">
        <v>56</v>
      </c>
      <c r="H74" s="21" t="n">
        <v>4.13</v>
      </c>
      <c r="I74" s="21" t="n">
        <v>2</v>
      </c>
      <c r="J74" s="21" t="n">
        <v>0.9837</v>
      </c>
      <c r="K74" s="21" t="n">
        <v>4.06</v>
      </c>
      <c r="L74" s="21" t="n">
        <v>250</v>
      </c>
      <c r="M74" s="21" t="n">
        <v>304.88</v>
      </c>
      <c r="N74" s="19"/>
    </row>
    <row r="75" customFormat="false" ht="18" hidden="false" customHeight="true" outlineLevel="0" collapsed="false">
      <c r="B75" s="16" t="s">
        <v>260</v>
      </c>
      <c r="C75" s="17" t="s">
        <v>91</v>
      </c>
      <c r="D75" s="18" t="s">
        <v>261</v>
      </c>
      <c r="E75" s="18" t="s">
        <v>129</v>
      </c>
      <c r="F75" s="17" t="s">
        <v>130</v>
      </c>
      <c r="G75" s="18" t="s">
        <v>131</v>
      </c>
      <c r="H75" s="18" t="n">
        <v>5.23</v>
      </c>
      <c r="I75" s="18" t="n">
        <v>10</v>
      </c>
      <c r="J75" s="18" t="n">
        <v>1.0975</v>
      </c>
      <c r="K75" s="18" t="n">
        <v>5.74</v>
      </c>
      <c r="L75" s="18" t="n">
        <v>50</v>
      </c>
      <c r="M75" s="18" t="n">
        <v>66.89</v>
      </c>
      <c r="N75" s="16"/>
    </row>
    <row r="76" customFormat="false" ht="18" hidden="false" customHeight="true" outlineLevel="0" collapsed="false">
      <c r="B76" s="19" t="s">
        <v>127</v>
      </c>
      <c r="C76" s="20" t="s">
        <v>91</v>
      </c>
      <c r="D76" s="21" t="s">
        <v>128</v>
      </c>
      <c r="E76" s="21" t="s">
        <v>129</v>
      </c>
      <c r="F76" s="20" t="s">
        <v>130</v>
      </c>
      <c r="G76" s="21" t="s">
        <v>131</v>
      </c>
      <c r="H76" s="21" t="n">
        <v>5.23</v>
      </c>
      <c r="I76" s="21" t="n">
        <v>1000</v>
      </c>
      <c r="J76" s="21" t="n">
        <v>1.0975</v>
      </c>
      <c r="K76" s="21" t="n">
        <v>5.74</v>
      </c>
      <c r="L76" s="21" t="n">
        <v>0.5</v>
      </c>
      <c r="M76" s="21" t="n">
        <v>7.49</v>
      </c>
      <c r="N76" s="19"/>
    </row>
    <row r="77" customFormat="false" ht="18" hidden="false" customHeight="true" outlineLevel="0" collapsed="false">
      <c r="B77" s="16" t="s">
        <v>217</v>
      </c>
      <c r="C77" s="17" t="s">
        <v>218</v>
      </c>
      <c r="D77" s="18" t="s">
        <v>205</v>
      </c>
      <c r="E77" s="18" t="s">
        <v>219</v>
      </c>
      <c r="F77" s="17" t="s">
        <v>220</v>
      </c>
      <c r="G77" s="18" t="s">
        <v>56</v>
      </c>
      <c r="H77" s="18" t="n">
        <v>4.13</v>
      </c>
      <c r="I77" s="18" t="n">
        <v>33</v>
      </c>
      <c r="J77" s="18" t="n">
        <v>0.8797</v>
      </c>
      <c r="K77" s="18" t="n">
        <v>3.63</v>
      </c>
      <c r="L77" s="18" t="n">
        <v>15.15</v>
      </c>
      <c r="M77" s="18" t="n">
        <v>22.54</v>
      </c>
      <c r="N77" s="16"/>
    </row>
    <row r="78" customFormat="false" ht="18" hidden="false" customHeight="true" outlineLevel="0" collapsed="false">
      <c r="B78" s="19" t="s">
        <v>61</v>
      </c>
      <c r="C78" s="20" t="s">
        <v>39</v>
      </c>
      <c r="D78" s="21" t="s">
        <v>62</v>
      </c>
      <c r="E78" s="21" t="s">
        <v>63</v>
      </c>
      <c r="F78" s="20" t="s">
        <v>64</v>
      </c>
      <c r="G78" s="21" t="s">
        <v>65</v>
      </c>
      <c r="H78" s="21" t="n">
        <v>4.58</v>
      </c>
      <c r="I78" s="21" t="n">
        <v>11</v>
      </c>
      <c r="J78" s="21" t="n">
        <v>2.0093</v>
      </c>
      <c r="K78" s="21" t="n">
        <v>9.2</v>
      </c>
      <c r="L78" s="21" t="n">
        <v>45.45</v>
      </c>
      <c r="M78" s="21" t="n">
        <v>65.59</v>
      </c>
      <c r="N78" s="19"/>
    </row>
    <row r="79" customFormat="false" ht="18" hidden="false" customHeight="true" outlineLevel="0" collapsed="false">
      <c r="B79" s="16" t="s">
        <v>44</v>
      </c>
      <c r="C79" s="17" t="s">
        <v>45</v>
      </c>
      <c r="D79" s="18" t="s">
        <v>46</v>
      </c>
      <c r="E79" s="18" t="s">
        <v>47</v>
      </c>
      <c r="F79" s="17" t="s">
        <v>48</v>
      </c>
      <c r="G79" s="18" t="s">
        <v>43</v>
      </c>
      <c r="H79" s="18" t="n">
        <v>3.26</v>
      </c>
      <c r="I79" s="18" t="n">
        <v>7100</v>
      </c>
      <c r="J79" s="18"/>
      <c r="K79" s="18"/>
      <c r="L79" s="18" t="n">
        <v>0.07</v>
      </c>
      <c r="M79" s="18" t="s">
        <v>49</v>
      </c>
      <c r="N79" s="16" t="s">
        <v>50</v>
      </c>
    </row>
    <row r="80" customFormat="false" ht="18" hidden="false" customHeight="true" outlineLevel="0" collapsed="false">
      <c r="B80" s="19" t="s">
        <v>57</v>
      </c>
      <c r="C80" s="20" t="s">
        <v>45</v>
      </c>
      <c r="D80" s="21" t="s">
        <v>58</v>
      </c>
      <c r="E80" s="21" t="s">
        <v>59</v>
      </c>
      <c r="F80" s="20" t="s">
        <v>60</v>
      </c>
      <c r="G80" s="21" t="s">
        <v>43</v>
      </c>
      <c r="H80" s="21" t="n">
        <v>3.26</v>
      </c>
      <c r="I80" s="21" t="n">
        <v>24300</v>
      </c>
      <c r="J80" s="21"/>
      <c r="K80" s="21"/>
      <c r="L80" s="21" t="n">
        <v>0.02</v>
      </c>
      <c r="M80" s="21" t="s">
        <v>49</v>
      </c>
      <c r="N80" s="19" t="s">
        <v>50</v>
      </c>
    </row>
    <row r="81" customFormat="false" ht="18" hidden="false" customHeight="true" outlineLevel="0" collapsed="false">
      <c r="B81" s="16" t="s">
        <v>262</v>
      </c>
      <c r="C81" s="17" t="s">
        <v>91</v>
      </c>
      <c r="D81" s="22" t="n">
        <v>45918</v>
      </c>
      <c r="E81" s="18" t="s">
        <v>263</v>
      </c>
      <c r="F81" s="17" t="s">
        <v>70</v>
      </c>
      <c r="G81" s="18" t="s">
        <v>65</v>
      </c>
      <c r="H81" s="18" t="n">
        <v>4.58</v>
      </c>
      <c r="I81" s="18" t="n">
        <v>20</v>
      </c>
      <c r="J81" s="18" t="n">
        <v>0.6429</v>
      </c>
      <c r="K81" s="18" t="n">
        <v>2.94</v>
      </c>
      <c r="L81" s="18" t="n">
        <v>25</v>
      </c>
      <c r="M81" s="18" t="n">
        <v>33.53</v>
      </c>
      <c r="N81" s="16"/>
    </row>
    <row r="82" customFormat="false" ht="18" hidden="false" customHeight="true" outlineLevel="0" collapsed="false">
      <c r="B82" s="19" t="s">
        <v>264</v>
      </c>
      <c r="C82" s="20" t="s">
        <v>265</v>
      </c>
      <c r="D82" s="23" t="n">
        <v>45918</v>
      </c>
      <c r="E82" s="21" t="s">
        <v>266</v>
      </c>
      <c r="F82" s="20" t="s">
        <v>267</v>
      </c>
      <c r="G82" s="21" t="s">
        <v>56</v>
      </c>
      <c r="H82" s="21" t="n">
        <v>4.13</v>
      </c>
      <c r="I82" s="21" t="n">
        <v>300</v>
      </c>
      <c r="J82" s="21" t="n">
        <v>0.6731</v>
      </c>
      <c r="K82" s="21" t="n">
        <v>2.78</v>
      </c>
      <c r="L82" s="21" t="n">
        <v>1.67</v>
      </c>
      <c r="M82" s="21" t="n">
        <v>5.34</v>
      </c>
      <c r="N82" s="19"/>
    </row>
    <row r="83" customFormat="false" ht="18" hidden="false" customHeight="true" outlineLevel="0" collapsed="false">
      <c r="B83" s="16" t="s">
        <v>268</v>
      </c>
      <c r="C83" s="17" t="s">
        <v>91</v>
      </c>
      <c r="D83" s="22" t="n">
        <v>45919</v>
      </c>
      <c r="E83" s="18" t="s">
        <v>269</v>
      </c>
      <c r="F83" s="17" t="s">
        <v>270</v>
      </c>
      <c r="G83" s="18" t="s">
        <v>43</v>
      </c>
      <c r="H83" s="18" t="n">
        <v>3.26</v>
      </c>
      <c r="I83" s="18" t="n">
        <v>10000</v>
      </c>
      <c r="J83" s="18"/>
      <c r="K83" s="18"/>
      <c r="L83" s="18" t="n">
        <v>0.05</v>
      </c>
      <c r="M83" s="18" t="s">
        <v>49</v>
      </c>
      <c r="N83" s="16" t="s">
        <v>50</v>
      </c>
    </row>
    <row r="84" customFormat="false" ht="18" hidden="false" customHeight="true" outlineLevel="0" collapsed="false">
      <c r="B84" s="19" t="s">
        <v>271</v>
      </c>
      <c r="C84" s="20" t="s">
        <v>101</v>
      </c>
      <c r="D84" s="23" t="n">
        <v>45919</v>
      </c>
      <c r="E84" s="21" t="s">
        <v>272</v>
      </c>
      <c r="F84" s="19" t="s">
        <v>104</v>
      </c>
      <c r="G84" s="21" t="s">
        <v>49</v>
      </c>
      <c r="H84" s="21"/>
      <c r="I84" s="21" t="n">
        <v>10000</v>
      </c>
      <c r="J84" s="21"/>
      <c r="K84" s="21"/>
      <c r="L84" s="21" t="n">
        <v>0.05</v>
      </c>
      <c r="M84" s="21" t="s">
        <v>49</v>
      </c>
      <c r="N84" s="19" t="s">
        <v>81</v>
      </c>
    </row>
    <row r="85" customFormat="false" ht="18" hidden="false" customHeight="true" outlineLevel="0" collapsed="false">
      <c r="B85" s="16" t="s">
        <v>273</v>
      </c>
      <c r="C85" s="17" t="s">
        <v>101</v>
      </c>
      <c r="D85" s="22" t="n">
        <v>45919</v>
      </c>
      <c r="E85" s="18" t="s">
        <v>274</v>
      </c>
      <c r="F85" s="16" t="s">
        <v>104</v>
      </c>
      <c r="G85" s="18" t="s">
        <v>49</v>
      </c>
      <c r="H85" s="18"/>
      <c r="I85" s="18" t="n">
        <v>10000</v>
      </c>
      <c r="J85" s="18"/>
      <c r="K85" s="18"/>
      <c r="L85" s="18" t="n">
        <v>0.05</v>
      </c>
      <c r="M85" s="18" t="s">
        <v>49</v>
      </c>
      <c r="N85" s="16" t="s">
        <v>81</v>
      </c>
    </row>
    <row r="86" customFormat="false" ht="18" hidden="false" customHeight="true" outlineLevel="0" collapsed="false">
      <c r="B86" s="19" t="s">
        <v>275</v>
      </c>
      <c r="C86" s="20" t="s">
        <v>276</v>
      </c>
      <c r="D86" s="23" t="n">
        <v>45919</v>
      </c>
      <c r="E86" s="21" t="n">
        <v>0</v>
      </c>
      <c r="F86" s="19"/>
      <c r="G86" s="21"/>
      <c r="H86" s="21"/>
      <c r="I86" s="21" t="n">
        <v>85</v>
      </c>
      <c r="J86" s="21"/>
      <c r="K86" s="21"/>
      <c r="L86" s="21" t="n">
        <v>5.88</v>
      </c>
      <c r="M86" s="21" t="s">
        <v>49</v>
      </c>
      <c r="N86" s="19" t="s">
        <v>50</v>
      </c>
    </row>
    <row r="87" customFormat="false" ht="18" hidden="false" customHeight="true" outlineLevel="0" collapsed="false">
      <c r="B87" s="16" t="s">
        <v>277</v>
      </c>
      <c r="C87" s="17" t="s">
        <v>278</v>
      </c>
      <c r="D87" s="22" t="n">
        <v>45919</v>
      </c>
      <c r="E87" s="18" t="n">
        <v>0</v>
      </c>
      <c r="F87" s="16"/>
      <c r="G87" s="18"/>
      <c r="H87" s="18"/>
      <c r="I87" s="18" t="n">
        <v>150</v>
      </c>
      <c r="J87" s="18"/>
      <c r="K87" s="18"/>
      <c r="L87" s="18" t="n">
        <v>3.33</v>
      </c>
      <c r="M87" s="18" t="s">
        <v>49</v>
      </c>
      <c r="N87" s="16" t="s">
        <v>50</v>
      </c>
    </row>
    <row r="88" customFormat="false" ht="18" hidden="false" customHeight="true" outlineLevel="0" collapsed="false">
      <c r="B88" s="19" t="s">
        <v>279</v>
      </c>
      <c r="C88" s="20" t="s">
        <v>39</v>
      </c>
      <c r="D88" s="23" t="n">
        <v>45920</v>
      </c>
      <c r="E88" s="21" t="s">
        <v>280</v>
      </c>
      <c r="F88" s="19" t="s">
        <v>245</v>
      </c>
      <c r="G88" s="21" t="s">
        <v>43</v>
      </c>
      <c r="H88" s="21" t="n">
        <v>3.26</v>
      </c>
      <c r="I88" s="21" t="n">
        <v>500</v>
      </c>
      <c r="J88" s="21" t="n">
        <v>1.151</v>
      </c>
      <c r="K88" s="21" t="n">
        <v>3.75</v>
      </c>
      <c r="L88" s="21" t="n">
        <v>1</v>
      </c>
      <c r="M88" s="21" t="n">
        <v>5.7</v>
      </c>
      <c r="N88" s="19"/>
    </row>
    <row r="89" customFormat="false" ht="18" hidden="false" customHeight="true" outlineLevel="0" collapsed="false">
      <c r="B89" s="16" t="s">
        <v>281</v>
      </c>
      <c r="C89" s="17" t="s">
        <v>39</v>
      </c>
      <c r="D89" s="22" t="n">
        <v>45920</v>
      </c>
      <c r="E89" s="18" t="s">
        <v>282</v>
      </c>
      <c r="F89" s="17" t="s">
        <v>283</v>
      </c>
      <c r="G89" s="18" t="s">
        <v>65</v>
      </c>
      <c r="H89" s="18" t="n">
        <v>4.58</v>
      </c>
      <c r="I89" s="18" t="n">
        <v>550</v>
      </c>
      <c r="J89" s="18" t="n">
        <v>0.5916</v>
      </c>
      <c r="K89" s="18" t="n">
        <v>2.71</v>
      </c>
      <c r="L89" s="18" t="n">
        <v>0.91</v>
      </c>
      <c r="M89" s="18" t="n">
        <v>4.34</v>
      </c>
      <c r="N89" s="16"/>
    </row>
    <row r="90" customFormat="false" ht="18" hidden="false" customHeight="true" outlineLevel="0" collapsed="false">
      <c r="B90" s="19" t="s">
        <v>284</v>
      </c>
      <c r="C90" s="20" t="s">
        <v>39</v>
      </c>
      <c r="D90" s="23" t="n">
        <v>45920</v>
      </c>
      <c r="E90" s="21" t="s">
        <v>285</v>
      </c>
      <c r="F90" s="20" t="s">
        <v>283</v>
      </c>
      <c r="G90" s="21" t="s">
        <v>65</v>
      </c>
      <c r="H90" s="21" t="n">
        <v>4.58</v>
      </c>
      <c r="I90" s="21" t="n">
        <v>500</v>
      </c>
      <c r="J90" s="21" t="n">
        <v>0.8093</v>
      </c>
      <c r="K90" s="21" t="n">
        <v>3.71</v>
      </c>
      <c r="L90" s="21" t="n">
        <v>1</v>
      </c>
      <c r="M90" s="21" t="n">
        <v>5.65</v>
      </c>
      <c r="N90" s="19"/>
    </row>
    <row r="91" customFormat="false" ht="18" hidden="false" customHeight="true" outlineLevel="0" collapsed="false">
      <c r="B91" s="16" t="s">
        <v>286</v>
      </c>
      <c r="C91" s="17" t="s">
        <v>39</v>
      </c>
      <c r="D91" s="22" t="n">
        <v>45920</v>
      </c>
      <c r="E91" s="18" t="s">
        <v>287</v>
      </c>
      <c r="F91" s="17" t="s">
        <v>283</v>
      </c>
      <c r="G91" s="18" t="s">
        <v>65</v>
      </c>
      <c r="H91" s="18" t="n">
        <v>4.58</v>
      </c>
      <c r="I91" s="18" t="n">
        <v>500</v>
      </c>
      <c r="J91" s="18" t="n">
        <v>0.7981</v>
      </c>
      <c r="K91" s="18" t="n">
        <v>3.66</v>
      </c>
      <c r="L91" s="18" t="n">
        <v>1</v>
      </c>
      <c r="M91" s="18" t="n">
        <v>5.59</v>
      </c>
      <c r="N91" s="16"/>
    </row>
    <row r="92" customFormat="false" ht="18" hidden="false" customHeight="true" outlineLevel="0" collapsed="false">
      <c r="B92" s="19" t="s">
        <v>288</v>
      </c>
      <c r="C92" s="20" t="s">
        <v>289</v>
      </c>
      <c r="D92" s="23" t="n">
        <v>45922</v>
      </c>
      <c r="E92" s="21" t="s">
        <v>290</v>
      </c>
      <c r="F92" s="20" t="s">
        <v>291</v>
      </c>
      <c r="G92" s="21" t="s">
        <v>65</v>
      </c>
      <c r="H92" s="21" t="n">
        <v>4.58</v>
      </c>
      <c r="I92" s="21" t="n">
        <v>60</v>
      </c>
      <c r="J92" s="21" t="n">
        <v>1.2959</v>
      </c>
      <c r="K92" s="21" t="n">
        <v>5.94</v>
      </c>
      <c r="L92" s="21" t="n">
        <v>8.33</v>
      </c>
      <c r="M92" s="21" t="n">
        <v>17.12</v>
      </c>
      <c r="N92" s="19"/>
    </row>
    <row r="93" customFormat="false" ht="18" hidden="false" customHeight="true" outlineLevel="0" collapsed="false">
      <c r="B93" s="16" t="s">
        <v>292</v>
      </c>
      <c r="C93" s="17" t="s">
        <v>146</v>
      </c>
      <c r="D93" s="22" t="n">
        <v>45922</v>
      </c>
      <c r="E93" s="18" t="s">
        <v>293</v>
      </c>
      <c r="F93" s="17" t="s">
        <v>190</v>
      </c>
      <c r="G93" s="18" t="s">
        <v>43</v>
      </c>
      <c r="H93" s="18" t="n">
        <v>3.26</v>
      </c>
      <c r="I93" s="18" t="n">
        <v>280</v>
      </c>
      <c r="J93" s="18" t="n">
        <v>0.2302</v>
      </c>
      <c r="K93" s="18" t="n">
        <v>0.75</v>
      </c>
      <c r="L93" s="18" t="n">
        <v>1.79</v>
      </c>
      <c r="M93" s="18" t="n">
        <v>3.04</v>
      </c>
      <c r="N93" s="16"/>
    </row>
    <row r="94" customFormat="false" ht="18" hidden="false" customHeight="true" outlineLevel="0" collapsed="false">
      <c r="B94" s="19" t="s">
        <v>294</v>
      </c>
      <c r="C94" s="20" t="s">
        <v>146</v>
      </c>
      <c r="D94" s="23" t="n">
        <v>45922</v>
      </c>
      <c r="E94" s="21" t="s">
        <v>295</v>
      </c>
      <c r="F94" s="20" t="s">
        <v>155</v>
      </c>
      <c r="G94" s="21" t="s">
        <v>56</v>
      </c>
      <c r="H94" s="21" t="n">
        <v>4.13</v>
      </c>
      <c r="I94" s="21" t="n">
        <v>140</v>
      </c>
      <c r="J94" s="21" t="n">
        <v>1.6992</v>
      </c>
      <c r="K94" s="21" t="n">
        <v>7.02</v>
      </c>
      <c r="L94" s="21" t="n">
        <v>3.57</v>
      </c>
      <c r="M94" s="21" t="n">
        <v>12.71</v>
      </c>
      <c r="N94" s="19"/>
    </row>
    <row r="95" customFormat="false" ht="18" hidden="false" customHeight="true" outlineLevel="0" collapsed="false">
      <c r="B95" s="16" t="s">
        <v>296</v>
      </c>
      <c r="C95" s="17" t="s">
        <v>101</v>
      </c>
      <c r="D95" s="22" t="n">
        <v>45924</v>
      </c>
      <c r="E95" s="18" t="s">
        <v>297</v>
      </c>
      <c r="F95" s="17" t="s">
        <v>298</v>
      </c>
      <c r="G95" s="18" t="s">
        <v>43</v>
      </c>
      <c r="H95" s="18" t="n">
        <v>3.26</v>
      </c>
      <c r="I95" s="18" t="n">
        <v>50</v>
      </c>
      <c r="J95" s="18" t="n">
        <v>0.96</v>
      </c>
      <c r="K95" s="18" t="n">
        <v>3.13</v>
      </c>
      <c r="L95" s="18" t="n">
        <v>10</v>
      </c>
      <c r="M95" s="18" t="n">
        <v>15.76</v>
      </c>
      <c r="N95" s="16"/>
    </row>
    <row r="96" customFormat="false" ht="18" hidden="false" customHeight="true" outlineLevel="0" collapsed="false">
      <c r="B96" s="19" t="s">
        <v>299</v>
      </c>
      <c r="C96" s="20" t="s">
        <v>72</v>
      </c>
      <c r="D96" s="23" t="n">
        <v>45924</v>
      </c>
      <c r="E96" s="21" t="s">
        <v>74</v>
      </c>
      <c r="F96" s="20" t="s">
        <v>75</v>
      </c>
      <c r="G96" s="21" t="s">
        <v>43</v>
      </c>
      <c r="H96" s="21" t="n">
        <v>3.26</v>
      </c>
      <c r="I96" s="21" t="n">
        <v>3000</v>
      </c>
      <c r="J96" s="21" t="n">
        <v>0.231</v>
      </c>
      <c r="K96" s="21" t="n">
        <v>0.75</v>
      </c>
      <c r="L96" s="21" t="n">
        <v>0.17</v>
      </c>
      <c r="M96" s="21" t="n">
        <v>1.1</v>
      </c>
      <c r="N96" s="19"/>
    </row>
    <row r="97" customFormat="false" ht="18" hidden="false" customHeight="true" outlineLevel="0" collapsed="false">
      <c r="B97" s="16" t="s">
        <v>300</v>
      </c>
      <c r="C97" s="17" t="s">
        <v>101</v>
      </c>
      <c r="D97" s="22" t="n">
        <v>45924</v>
      </c>
      <c r="E97" s="18" t="s">
        <v>301</v>
      </c>
      <c r="F97" s="17" t="s">
        <v>302</v>
      </c>
      <c r="G97" s="18" t="s">
        <v>43</v>
      </c>
      <c r="H97" s="18" t="n">
        <v>3.26</v>
      </c>
      <c r="I97" s="18" t="n">
        <v>1000</v>
      </c>
      <c r="J97" s="18" t="n">
        <v>0.3089</v>
      </c>
      <c r="K97" s="18" t="n">
        <v>1.01</v>
      </c>
      <c r="L97" s="18" t="n">
        <v>0.5</v>
      </c>
      <c r="M97" s="18" t="n">
        <v>1.81</v>
      </c>
      <c r="N97" s="16"/>
    </row>
    <row r="98" customFormat="false" ht="18" hidden="false" customHeight="true" outlineLevel="0" collapsed="false">
      <c r="B98" s="19" t="s">
        <v>303</v>
      </c>
      <c r="C98" s="20" t="s">
        <v>101</v>
      </c>
      <c r="D98" s="23" t="n">
        <v>45924</v>
      </c>
      <c r="E98" s="21" t="s">
        <v>304</v>
      </c>
      <c r="F98" s="20" t="s">
        <v>302</v>
      </c>
      <c r="G98" s="21" t="s">
        <v>43</v>
      </c>
      <c r="H98" s="21" t="n">
        <v>3.26</v>
      </c>
      <c r="I98" s="21" t="n">
        <v>3000</v>
      </c>
      <c r="J98" s="21" t="n">
        <v>0.2748</v>
      </c>
      <c r="K98" s="21" t="n">
        <v>0.9</v>
      </c>
      <c r="L98" s="21" t="n">
        <v>0.17</v>
      </c>
      <c r="M98" s="21" t="n">
        <v>1.28</v>
      </c>
      <c r="N98" s="19"/>
    </row>
    <row r="99" customFormat="false" ht="18" hidden="false" customHeight="true" outlineLevel="0" collapsed="false">
      <c r="B99" s="16" t="s">
        <v>305</v>
      </c>
      <c r="C99" s="17" t="s">
        <v>101</v>
      </c>
      <c r="D99" s="22" t="n">
        <v>45924</v>
      </c>
      <c r="E99" s="18" t="s">
        <v>306</v>
      </c>
      <c r="F99" s="17" t="s">
        <v>302</v>
      </c>
      <c r="G99" s="18" t="s">
        <v>43</v>
      </c>
      <c r="H99" s="18" t="n">
        <v>3.26</v>
      </c>
      <c r="I99" s="18" t="n">
        <v>1000</v>
      </c>
      <c r="J99" s="18" t="n">
        <v>0.6624</v>
      </c>
      <c r="K99" s="18" t="n">
        <v>2.16</v>
      </c>
      <c r="L99" s="18" t="n">
        <v>0.5</v>
      </c>
      <c r="M99" s="18" t="n">
        <v>3.19</v>
      </c>
      <c r="N99" s="16"/>
    </row>
    <row r="100" customFormat="false" ht="18" hidden="false" customHeight="true" outlineLevel="0" collapsed="false">
      <c r="B100" s="19" t="s">
        <v>307</v>
      </c>
      <c r="C100" s="20" t="s">
        <v>101</v>
      </c>
      <c r="D100" s="23" t="n">
        <v>45924</v>
      </c>
      <c r="E100" s="21" t="s">
        <v>308</v>
      </c>
      <c r="F100" s="20" t="s">
        <v>302</v>
      </c>
      <c r="G100" s="21" t="s">
        <v>43</v>
      </c>
      <c r="H100" s="21" t="n">
        <v>3.26</v>
      </c>
      <c r="I100" s="21" t="n">
        <v>500</v>
      </c>
      <c r="J100" s="21" t="n">
        <v>0.7642</v>
      </c>
      <c r="K100" s="21" t="n">
        <v>2.49</v>
      </c>
      <c r="L100" s="21" t="n">
        <v>1</v>
      </c>
      <c r="M100" s="21" t="n">
        <v>4.19</v>
      </c>
      <c r="N100" s="19"/>
    </row>
    <row r="101" customFormat="false" ht="18" hidden="false" customHeight="true" outlineLevel="0" collapsed="false">
      <c r="B101" s="16" t="s">
        <v>309</v>
      </c>
      <c r="C101" s="17" t="s">
        <v>101</v>
      </c>
      <c r="D101" s="22" t="n">
        <v>45924</v>
      </c>
      <c r="E101" s="18" t="s">
        <v>310</v>
      </c>
      <c r="F101" s="17" t="s">
        <v>302</v>
      </c>
      <c r="G101" s="18" t="s">
        <v>43</v>
      </c>
      <c r="H101" s="18" t="n">
        <v>3.26</v>
      </c>
      <c r="I101" s="18" t="n">
        <v>500</v>
      </c>
      <c r="J101" s="18" t="n">
        <v>0.8778</v>
      </c>
      <c r="K101" s="18" t="n">
        <v>2.86</v>
      </c>
      <c r="L101" s="18" t="n">
        <v>1</v>
      </c>
      <c r="M101" s="18" t="n">
        <v>4.63</v>
      </c>
      <c r="N101" s="16"/>
    </row>
    <row r="102" customFormat="false" ht="18" hidden="false" customHeight="true" outlineLevel="0" collapsed="false">
      <c r="B102" s="19" t="s">
        <v>311</v>
      </c>
      <c r="C102" s="20" t="s">
        <v>312</v>
      </c>
      <c r="D102" s="23" t="n">
        <v>45910</v>
      </c>
      <c r="E102" s="21" t="s">
        <v>313</v>
      </c>
      <c r="F102" s="20" t="s">
        <v>314</v>
      </c>
      <c r="G102" s="21" t="s">
        <v>65</v>
      </c>
      <c r="H102" s="21" t="n">
        <v>4.58</v>
      </c>
      <c r="I102" s="21" t="n">
        <v>3600</v>
      </c>
      <c r="J102" s="21" t="n">
        <v>1.1942</v>
      </c>
      <c r="K102" s="21" t="n">
        <v>5.47</v>
      </c>
      <c r="L102" s="21" t="n">
        <v>0.14</v>
      </c>
      <c r="M102" s="21" t="n">
        <v>6.73</v>
      </c>
      <c r="N102" s="19"/>
    </row>
    <row r="103" customFormat="false" ht="18" hidden="false" customHeight="true" outlineLevel="0" collapsed="false">
      <c r="B103" s="16" t="s">
        <v>315</v>
      </c>
      <c r="C103" s="17" t="s">
        <v>312</v>
      </c>
      <c r="D103" s="22" t="n">
        <v>45910</v>
      </c>
      <c r="E103" s="18" t="s">
        <v>316</v>
      </c>
      <c r="F103" s="17" t="s">
        <v>190</v>
      </c>
      <c r="G103" s="18" t="s">
        <v>43</v>
      </c>
      <c r="H103" s="18" t="n">
        <v>3.26</v>
      </c>
      <c r="I103" s="18" t="n">
        <v>7200</v>
      </c>
      <c r="J103" s="18" t="n">
        <v>0.1741</v>
      </c>
      <c r="K103" s="18" t="n">
        <v>0.57</v>
      </c>
      <c r="L103" s="18" t="n">
        <v>0.07</v>
      </c>
      <c r="M103" s="18" t="n">
        <v>0.76</v>
      </c>
      <c r="N103" s="16"/>
    </row>
    <row r="104" customFormat="false" ht="18" hidden="false" customHeight="true" outlineLevel="0" collapsed="false">
      <c r="B104" s="19" t="s">
        <v>317</v>
      </c>
      <c r="C104" s="20" t="s">
        <v>137</v>
      </c>
      <c r="D104" s="23" t="n">
        <v>45924</v>
      </c>
      <c r="E104" s="21" t="s">
        <v>318</v>
      </c>
      <c r="F104" s="19"/>
      <c r="G104" s="21"/>
      <c r="H104" s="21"/>
      <c r="I104" s="21" t="n">
        <v>4866</v>
      </c>
      <c r="J104" s="21"/>
      <c r="K104" s="21"/>
      <c r="L104" s="21" t="n">
        <v>0.1</v>
      </c>
      <c r="M104" s="21" t="s">
        <v>49</v>
      </c>
      <c r="N104" s="19" t="s">
        <v>50</v>
      </c>
    </row>
    <row r="105" customFormat="false" ht="18" hidden="false" customHeight="true" outlineLevel="0" collapsed="false">
      <c r="B105" s="16" t="s">
        <v>319</v>
      </c>
      <c r="C105" s="17" t="s">
        <v>83</v>
      </c>
      <c r="D105" s="22" t="n">
        <v>45926</v>
      </c>
      <c r="E105" s="18" t="s">
        <v>240</v>
      </c>
      <c r="F105" s="16" t="s">
        <v>86</v>
      </c>
      <c r="G105" s="18" t="s">
        <v>49</v>
      </c>
      <c r="H105" s="18"/>
      <c r="I105" s="18" t="n">
        <v>3021</v>
      </c>
      <c r="J105" s="18" t="n">
        <v>0.151</v>
      </c>
      <c r="K105" s="18"/>
      <c r="L105" s="18" t="n">
        <v>0.17</v>
      </c>
      <c r="M105" s="18" t="s">
        <v>49</v>
      </c>
      <c r="N105" s="16" t="s">
        <v>81</v>
      </c>
    </row>
    <row r="106" customFormat="false" ht="18" hidden="false" customHeight="true" outlineLevel="0" collapsed="false">
      <c r="B106" s="19" t="s">
        <v>320</v>
      </c>
      <c r="C106" s="20" t="s">
        <v>83</v>
      </c>
      <c r="D106" s="23" t="n">
        <v>45926</v>
      </c>
      <c r="E106" s="21" t="s">
        <v>321</v>
      </c>
      <c r="F106" s="19" t="s">
        <v>86</v>
      </c>
      <c r="G106" s="21" t="s">
        <v>49</v>
      </c>
      <c r="H106" s="21"/>
      <c r="I106" s="21" t="n">
        <v>2400</v>
      </c>
      <c r="J106" s="21" t="n">
        <v>0.2079</v>
      </c>
      <c r="K106" s="21"/>
      <c r="L106" s="21" t="n">
        <v>0.21</v>
      </c>
      <c r="M106" s="21" t="s">
        <v>49</v>
      </c>
      <c r="N106" s="19" t="s">
        <v>81</v>
      </c>
    </row>
    <row r="107" customFormat="false" ht="18" hidden="false" customHeight="true" outlineLevel="0" collapsed="false">
      <c r="B107" s="16" t="s">
        <v>322</v>
      </c>
      <c r="C107" s="17" t="s">
        <v>83</v>
      </c>
      <c r="D107" s="22" t="n">
        <v>45926</v>
      </c>
      <c r="E107" s="18" t="s">
        <v>242</v>
      </c>
      <c r="F107" s="17" t="s">
        <v>64</v>
      </c>
      <c r="G107" s="18" t="s">
        <v>65</v>
      </c>
      <c r="H107" s="18" t="n">
        <v>4.58</v>
      </c>
      <c r="I107" s="18" t="n">
        <v>1500</v>
      </c>
      <c r="J107" s="18" t="n">
        <v>0.8953</v>
      </c>
      <c r="K107" s="18" t="n">
        <v>4.1</v>
      </c>
      <c r="L107" s="18" t="n">
        <v>0.33</v>
      </c>
      <c r="M107" s="18" t="n">
        <v>5.32</v>
      </c>
      <c r="N107" s="16"/>
    </row>
    <row r="108" customFormat="false" ht="18" hidden="false" customHeight="true" outlineLevel="0" collapsed="false">
      <c r="B108" s="19" t="s">
        <v>323</v>
      </c>
      <c r="C108" s="20" t="s">
        <v>83</v>
      </c>
      <c r="D108" s="23" t="n">
        <v>45926</v>
      </c>
      <c r="E108" s="21" t="s">
        <v>324</v>
      </c>
      <c r="F108" s="20" t="s">
        <v>325</v>
      </c>
      <c r="G108" s="21" t="s">
        <v>65</v>
      </c>
      <c r="H108" s="21" t="n">
        <v>4.58</v>
      </c>
      <c r="I108" s="21" t="n">
        <v>1200</v>
      </c>
      <c r="J108" s="21" t="n">
        <v>1.1188</v>
      </c>
      <c r="K108" s="21" t="n">
        <v>5.12</v>
      </c>
      <c r="L108" s="21" t="n">
        <v>0.42</v>
      </c>
      <c r="M108" s="21" t="n">
        <v>6.65</v>
      </c>
      <c r="N108" s="19"/>
    </row>
    <row r="109" customFormat="false" ht="18" hidden="false" customHeight="true" outlineLevel="0" collapsed="false">
      <c r="B109" s="16" t="s">
        <v>326</v>
      </c>
      <c r="C109" s="17" t="s">
        <v>52</v>
      </c>
      <c r="D109" s="22" t="n">
        <v>45926</v>
      </c>
      <c r="E109" s="18" t="s">
        <v>327</v>
      </c>
      <c r="F109" s="16"/>
      <c r="G109" s="18"/>
      <c r="H109" s="18"/>
      <c r="I109" s="18" t="n">
        <v>240</v>
      </c>
      <c r="J109" s="18"/>
      <c r="K109" s="18"/>
      <c r="L109" s="18" t="n">
        <v>2.08</v>
      </c>
      <c r="M109" s="18" t="s">
        <v>49</v>
      </c>
      <c r="N109" s="16" t="s">
        <v>50</v>
      </c>
    </row>
    <row r="110" customFormat="false" ht="18" hidden="false" customHeight="true" outlineLevel="0" collapsed="false">
      <c r="B110" s="19" t="s">
        <v>328</v>
      </c>
      <c r="C110" s="20" t="s">
        <v>52</v>
      </c>
      <c r="D110" s="23" t="n">
        <v>45926</v>
      </c>
      <c r="E110" s="21" t="s">
        <v>193</v>
      </c>
      <c r="F110" s="19"/>
      <c r="G110" s="21"/>
      <c r="H110" s="21"/>
      <c r="I110" s="21" t="n">
        <v>240</v>
      </c>
      <c r="J110" s="21"/>
      <c r="K110" s="21"/>
      <c r="L110" s="21" t="n">
        <v>2.08</v>
      </c>
      <c r="M110" s="21" t="s">
        <v>49</v>
      </c>
      <c r="N110" s="19" t="s">
        <v>50</v>
      </c>
    </row>
    <row r="111" customFormat="false" ht="18" hidden="false" customHeight="true" outlineLevel="0" collapsed="false">
      <c r="B111" s="16" t="s">
        <v>329</v>
      </c>
      <c r="C111" s="17" t="s">
        <v>52</v>
      </c>
      <c r="D111" s="22" t="n">
        <v>45926</v>
      </c>
      <c r="E111" s="18" t="s">
        <v>195</v>
      </c>
      <c r="F111" s="16"/>
      <c r="G111" s="18"/>
      <c r="H111" s="18"/>
      <c r="I111" s="18" t="n">
        <v>240</v>
      </c>
      <c r="J111" s="18"/>
      <c r="K111" s="18"/>
      <c r="L111" s="18" t="n">
        <v>2.08</v>
      </c>
      <c r="M111" s="18" t="s">
        <v>49</v>
      </c>
      <c r="N111" s="16" t="s">
        <v>50</v>
      </c>
    </row>
    <row r="112" customFormat="false" ht="18" hidden="false" customHeight="true" outlineLevel="0" collapsed="false">
      <c r="B112" s="19" t="s">
        <v>330</v>
      </c>
      <c r="C112" s="20" t="s">
        <v>52</v>
      </c>
      <c r="D112" s="23" t="n">
        <v>45926</v>
      </c>
      <c r="E112" s="21" t="s">
        <v>197</v>
      </c>
      <c r="F112" s="19"/>
      <c r="G112" s="21"/>
      <c r="H112" s="21"/>
      <c r="I112" s="21" t="n">
        <v>240</v>
      </c>
      <c r="J112" s="21"/>
      <c r="K112" s="21"/>
      <c r="L112" s="21" t="n">
        <v>2.08</v>
      </c>
      <c r="M112" s="21" t="s">
        <v>49</v>
      </c>
      <c r="N112" s="19" t="s">
        <v>50</v>
      </c>
    </row>
    <row r="113" customFormat="false" ht="18" hidden="false" customHeight="true" outlineLevel="0" collapsed="false">
      <c r="B113" s="16" t="s">
        <v>331</v>
      </c>
      <c r="C113" s="17" t="s">
        <v>52</v>
      </c>
      <c r="D113" s="22" t="n">
        <v>45926</v>
      </c>
      <c r="E113" s="18" t="s">
        <v>195</v>
      </c>
      <c r="F113" s="16"/>
      <c r="G113" s="18"/>
      <c r="H113" s="18"/>
      <c r="I113" s="18" t="n">
        <v>100</v>
      </c>
      <c r="J113" s="18"/>
      <c r="K113" s="18"/>
      <c r="L113" s="18" t="n">
        <v>5</v>
      </c>
      <c r="M113" s="18" t="s">
        <v>49</v>
      </c>
      <c r="N113" s="16" t="s">
        <v>50</v>
      </c>
    </row>
    <row r="114" customFormat="false" ht="18" hidden="false" customHeight="true" outlineLevel="0" collapsed="false">
      <c r="B114" s="19" t="s">
        <v>332</v>
      </c>
      <c r="C114" s="20" t="s">
        <v>255</v>
      </c>
      <c r="D114" s="23" t="n">
        <v>45926</v>
      </c>
      <c r="E114" s="21" t="s">
        <v>256</v>
      </c>
      <c r="F114" s="20" t="s">
        <v>257</v>
      </c>
      <c r="G114" s="21" t="s">
        <v>56</v>
      </c>
      <c r="H114" s="21" t="n">
        <v>4.13</v>
      </c>
      <c r="I114" s="21" t="n">
        <v>60</v>
      </c>
      <c r="J114" s="21" t="n">
        <v>0.2558</v>
      </c>
      <c r="K114" s="21" t="n">
        <v>1.06</v>
      </c>
      <c r="L114" s="21" t="n">
        <v>8.33</v>
      </c>
      <c r="M114" s="21" t="n">
        <v>11.27</v>
      </c>
      <c r="N114" s="19"/>
    </row>
    <row r="115" customFormat="false" ht="18" hidden="false" customHeight="true" outlineLevel="0" collapsed="false">
      <c r="B115" s="16" t="s">
        <v>333</v>
      </c>
      <c r="C115" s="17" t="s">
        <v>39</v>
      </c>
      <c r="D115" s="22" t="n">
        <v>45926</v>
      </c>
      <c r="E115" s="18" t="s">
        <v>334</v>
      </c>
      <c r="F115" s="16" t="s">
        <v>245</v>
      </c>
      <c r="G115" s="18" t="s">
        <v>43</v>
      </c>
      <c r="H115" s="18" t="n">
        <v>3.26</v>
      </c>
      <c r="I115" s="18" t="n">
        <v>700</v>
      </c>
      <c r="J115" s="18" t="n">
        <v>0.5957</v>
      </c>
      <c r="K115" s="18" t="n">
        <v>1.94</v>
      </c>
      <c r="L115" s="18" t="n">
        <v>0.71</v>
      </c>
      <c r="M115" s="18" t="n">
        <v>3.19</v>
      </c>
      <c r="N115" s="16"/>
    </row>
    <row r="116" customFormat="false" ht="18" hidden="false" customHeight="true" outlineLevel="0" collapsed="false">
      <c r="B116" s="19" t="s">
        <v>335</v>
      </c>
      <c r="C116" s="20" t="s">
        <v>137</v>
      </c>
      <c r="D116" s="23" t="n">
        <v>45928</v>
      </c>
      <c r="E116" s="21" t="s">
        <v>336</v>
      </c>
      <c r="F116" s="19"/>
      <c r="G116" s="21"/>
      <c r="H116" s="21"/>
      <c r="I116" s="21" t="n">
        <v>50</v>
      </c>
      <c r="J116" s="21"/>
      <c r="K116" s="21"/>
      <c r="L116" s="21" t="n">
        <v>10</v>
      </c>
      <c r="M116" s="21" t="s">
        <v>49</v>
      </c>
      <c r="N116" s="19" t="s">
        <v>50</v>
      </c>
    </row>
    <row r="117" customFormat="false" ht="18" hidden="false" customHeight="true" outlineLevel="0" collapsed="false">
      <c r="B117" s="16" t="s">
        <v>337</v>
      </c>
      <c r="C117" s="17" t="s">
        <v>39</v>
      </c>
      <c r="D117" s="22" t="n">
        <v>45927</v>
      </c>
      <c r="E117" s="18" t="s">
        <v>338</v>
      </c>
      <c r="F117" s="17" t="s">
        <v>339</v>
      </c>
      <c r="G117" s="18" t="s">
        <v>65</v>
      </c>
      <c r="H117" s="18" t="n">
        <v>4.58</v>
      </c>
      <c r="I117" s="18" t="n">
        <v>800</v>
      </c>
      <c r="J117" s="18" t="n">
        <v>0.6853</v>
      </c>
      <c r="K117" s="18" t="n">
        <v>3.14</v>
      </c>
      <c r="L117" s="18" t="n">
        <v>0.62</v>
      </c>
      <c r="M117" s="18" t="n">
        <v>4.52</v>
      </c>
      <c r="N117" s="16"/>
    </row>
    <row r="118" customFormat="false" ht="18" hidden="false" customHeight="true" outlineLevel="0" collapsed="false">
      <c r="B118" s="19" t="s">
        <v>340</v>
      </c>
      <c r="C118" s="20" t="s">
        <v>39</v>
      </c>
      <c r="D118" s="23" t="n">
        <v>45927</v>
      </c>
      <c r="E118" s="21" t="s">
        <v>341</v>
      </c>
      <c r="F118" s="20" t="s">
        <v>342</v>
      </c>
      <c r="G118" s="21" t="s">
        <v>43</v>
      </c>
      <c r="H118" s="21" t="n">
        <v>3.26</v>
      </c>
      <c r="I118" s="21" t="n">
        <v>500</v>
      </c>
      <c r="J118" s="21" t="n">
        <v>0.3</v>
      </c>
      <c r="K118" s="21" t="n">
        <v>0.98</v>
      </c>
      <c r="L118" s="21" t="n">
        <v>1</v>
      </c>
      <c r="M118" s="21" t="n">
        <v>2.37</v>
      </c>
      <c r="N118" s="19"/>
    </row>
    <row r="119" customFormat="false" ht="18" hidden="false" customHeight="true" outlineLevel="0" collapsed="false">
      <c r="B119" s="16" t="s">
        <v>343</v>
      </c>
      <c r="C119" s="17" t="s">
        <v>218</v>
      </c>
      <c r="D119" s="22" t="n">
        <v>45928</v>
      </c>
      <c r="E119" s="18" t="s">
        <v>344</v>
      </c>
      <c r="F119" s="17" t="s">
        <v>220</v>
      </c>
      <c r="G119" s="18" t="s">
        <v>56</v>
      </c>
      <c r="H119" s="18" t="n">
        <v>4.13</v>
      </c>
      <c r="I119" s="18" t="n">
        <v>500</v>
      </c>
      <c r="J119" s="18" t="n">
        <v>1.8319</v>
      </c>
      <c r="K119" s="18" t="n">
        <v>7.57</v>
      </c>
      <c r="L119" s="18" t="n">
        <v>1</v>
      </c>
      <c r="M119" s="18" t="n">
        <v>10.28</v>
      </c>
      <c r="N119" s="16"/>
    </row>
    <row r="120" customFormat="false" ht="18" hidden="false" customHeight="true" outlineLevel="0" collapsed="false">
      <c r="B120" s="19" t="s">
        <v>345</v>
      </c>
      <c r="C120" s="20" t="s">
        <v>218</v>
      </c>
      <c r="D120" s="23" t="n">
        <v>45928</v>
      </c>
      <c r="E120" s="21" t="s">
        <v>346</v>
      </c>
      <c r="F120" s="20" t="s">
        <v>190</v>
      </c>
      <c r="G120" s="21" t="s">
        <v>43</v>
      </c>
      <c r="H120" s="21" t="n">
        <v>3.26</v>
      </c>
      <c r="I120" s="21" t="n">
        <v>1000</v>
      </c>
      <c r="J120" s="21" t="n">
        <v>0.2826</v>
      </c>
      <c r="K120" s="21" t="n">
        <v>0.92</v>
      </c>
      <c r="L120" s="21" t="n">
        <v>0.5</v>
      </c>
      <c r="M120" s="21" t="n">
        <v>1.71</v>
      </c>
      <c r="N120" s="19"/>
    </row>
    <row r="121" customFormat="false" ht="18" hidden="false" customHeight="true" outlineLevel="0" collapsed="false">
      <c r="B121" s="16" t="s">
        <v>347</v>
      </c>
      <c r="C121" s="17" t="s">
        <v>185</v>
      </c>
      <c r="D121" s="22" t="n">
        <v>45928</v>
      </c>
      <c r="E121" s="18" t="s">
        <v>186</v>
      </c>
      <c r="F121" s="16" t="s">
        <v>187</v>
      </c>
      <c r="G121" s="18" t="s">
        <v>43</v>
      </c>
      <c r="H121" s="18" t="n">
        <v>3.26</v>
      </c>
      <c r="I121" s="18" t="n">
        <v>3100</v>
      </c>
      <c r="J121" s="18" t="n">
        <v>1.3125</v>
      </c>
      <c r="K121" s="18" t="n">
        <v>4.28</v>
      </c>
      <c r="L121" s="18" t="n">
        <v>0.16</v>
      </c>
      <c r="M121" s="18" t="n">
        <v>5.33</v>
      </c>
      <c r="N121" s="16"/>
    </row>
    <row r="122" customFormat="false" ht="18" hidden="false" customHeight="true" outlineLevel="0" collapsed="false">
      <c r="B122" s="19" t="s">
        <v>348</v>
      </c>
      <c r="C122" s="20" t="s">
        <v>91</v>
      </c>
      <c r="D122" s="23" t="n">
        <v>45929</v>
      </c>
      <c r="E122" s="21" t="s">
        <v>349</v>
      </c>
      <c r="F122" s="20" t="s">
        <v>130</v>
      </c>
      <c r="G122" s="21" t="s">
        <v>131</v>
      </c>
      <c r="H122" s="21" t="n">
        <v>5.23</v>
      </c>
      <c r="I122" s="21" t="n">
        <v>500</v>
      </c>
      <c r="J122" s="21" t="n">
        <v>1.6825</v>
      </c>
      <c r="K122" s="21" t="n">
        <v>8.8</v>
      </c>
      <c r="L122" s="21" t="n">
        <v>1</v>
      </c>
      <c r="M122" s="21" t="n">
        <v>11.76</v>
      </c>
      <c r="N122" s="19"/>
    </row>
    <row r="123" customFormat="false" ht="18" hidden="false" customHeight="true" outlineLevel="0" collapsed="false">
      <c r="B123" s="16" t="s">
        <v>350</v>
      </c>
      <c r="C123" s="17" t="s">
        <v>351</v>
      </c>
      <c r="D123" s="22" t="n">
        <v>45929</v>
      </c>
      <c r="E123" s="18" t="s">
        <v>352</v>
      </c>
      <c r="F123" s="17" t="s">
        <v>353</v>
      </c>
      <c r="G123" s="18" t="s">
        <v>56</v>
      </c>
      <c r="H123" s="18" t="n">
        <v>4.13</v>
      </c>
      <c r="I123" s="18" t="n">
        <v>1000</v>
      </c>
      <c r="J123" s="18" t="n">
        <v>0.9509</v>
      </c>
      <c r="K123" s="18" t="n">
        <v>3.93</v>
      </c>
      <c r="L123" s="18" t="n">
        <v>0.5</v>
      </c>
      <c r="M123" s="18" t="n">
        <v>5.31</v>
      </c>
      <c r="N123" s="16"/>
    </row>
    <row r="124" customFormat="false" ht="18" hidden="false" customHeight="true" outlineLevel="0" collapsed="false">
      <c r="B124" s="19" t="s">
        <v>354</v>
      </c>
      <c r="C124" s="20" t="s">
        <v>39</v>
      </c>
      <c r="D124" s="23" t="n">
        <v>45930</v>
      </c>
      <c r="E124" s="21" t="s">
        <v>355</v>
      </c>
      <c r="F124" s="20" t="s">
        <v>283</v>
      </c>
      <c r="G124" s="21" t="s">
        <v>65</v>
      </c>
      <c r="H124" s="21" t="n">
        <v>4.58</v>
      </c>
      <c r="I124" s="21" t="n">
        <v>600</v>
      </c>
      <c r="J124" s="21" t="n">
        <v>1.0292</v>
      </c>
      <c r="K124" s="21" t="n">
        <v>4.71</v>
      </c>
      <c r="L124" s="21" t="n">
        <v>0.83</v>
      </c>
      <c r="M124" s="21" t="n">
        <v>6.66</v>
      </c>
      <c r="N124" s="19"/>
    </row>
    <row r="125" customFormat="false" ht="18" hidden="false" customHeight="true" outlineLevel="0" collapsed="false">
      <c r="B125" s="16" t="s">
        <v>356</v>
      </c>
      <c r="C125" s="17" t="s">
        <v>39</v>
      </c>
      <c r="D125" s="22" t="n">
        <v>45930</v>
      </c>
      <c r="E125" s="18" t="s">
        <v>357</v>
      </c>
      <c r="F125" s="16" t="s">
        <v>245</v>
      </c>
      <c r="G125" s="18" t="s">
        <v>43</v>
      </c>
      <c r="H125" s="18" t="n">
        <v>3.26</v>
      </c>
      <c r="I125" s="18" t="n">
        <v>600</v>
      </c>
      <c r="J125" s="18" t="n">
        <v>0.9196</v>
      </c>
      <c r="K125" s="18" t="n">
        <v>3</v>
      </c>
      <c r="L125" s="18" t="n">
        <v>0.83</v>
      </c>
      <c r="M125" s="18" t="n">
        <v>4.6</v>
      </c>
      <c r="N125" s="16"/>
    </row>
    <row r="126" customFormat="false" ht="18" hidden="false" customHeight="true" outlineLevel="0" collapsed="false">
      <c r="B126" s="19" t="s">
        <v>358</v>
      </c>
      <c r="C126" s="20" t="s">
        <v>39</v>
      </c>
      <c r="D126" s="23" t="n">
        <v>45928</v>
      </c>
      <c r="E126" s="21" t="s">
        <v>247</v>
      </c>
      <c r="F126" s="19" t="s">
        <v>245</v>
      </c>
      <c r="G126" s="21" t="s">
        <v>43</v>
      </c>
      <c r="H126" s="21" t="n">
        <v>3.26</v>
      </c>
      <c r="I126" s="21" t="n">
        <v>1000</v>
      </c>
      <c r="J126" s="21" t="n">
        <v>1.1104</v>
      </c>
      <c r="K126" s="21" t="n">
        <v>3.62</v>
      </c>
      <c r="L126" s="21" t="n">
        <v>0.5</v>
      </c>
      <c r="M126" s="21" t="n">
        <v>4.94</v>
      </c>
      <c r="N126" s="19"/>
    </row>
    <row r="127" customFormat="false" ht="18" hidden="false" customHeight="true" outlineLevel="0" collapsed="false">
      <c r="B127" s="16" t="s">
        <v>359</v>
      </c>
      <c r="C127" s="17" t="s">
        <v>39</v>
      </c>
      <c r="D127" s="22" t="n">
        <v>45928</v>
      </c>
      <c r="E127" s="18" t="s">
        <v>249</v>
      </c>
      <c r="F127" s="16" t="s">
        <v>245</v>
      </c>
      <c r="G127" s="18" t="s">
        <v>43</v>
      </c>
      <c r="H127" s="18" t="n">
        <v>3.26</v>
      </c>
      <c r="I127" s="18" t="n">
        <v>1000</v>
      </c>
      <c r="J127" s="18" t="n">
        <v>0.6231</v>
      </c>
      <c r="K127" s="18" t="n">
        <v>2.03</v>
      </c>
      <c r="L127" s="18" t="n">
        <v>0.5</v>
      </c>
      <c r="M127" s="18" t="n">
        <v>3.04</v>
      </c>
      <c r="N127" s="16"/>
    </row>
    <row r="128" customFormat="false" ht="18" hidden="false" customHeight="true" outlineLevel="0" collapsed="false">
      <c r="B128" s="19" t="s">
        <v>360</v>
      </c>
      <c r="C128" s="20" t="s">
        <v>39</v>
      </c>
      <c r="D128" s="23" t="n">
        <v>45928</v>
      </c>
      <c r="E128" s="21" t="s">
        <v>287</v>
      </c>
      <c r="F128" s="20" t="s">
        <v>283</v>
      </c>
      <c r="G128" s="21" t="s">
        <v>65</v>
      </c>
      <c r="H128" s="21" t="n">
        <v>4.58</v>
      </c>
      <c r="I128" s="21" t="n">
        <v>600</v>
      </c>
      <c r="J128" s="21" t="n">
        <v>0.7952</v>
      </c>
      <c r="K128" s="21" t="n">
        <v>3.64</v>
      </c>
      <c r="L128" s="21" t="n">
        <v>0.83</v>
      </c>
      <c r="M128" s="21" t="n">
        <v>5.37</v>
      </c>
      <c r="N128" s="19"/>
    </row>
    <row r="129" customFormat="false" ht="18" hidden="false" customHeight="true" outlineLevel="0" collapsed="false">
      <c r="B129" s="16" t="s">
        <v>361</v>
      </c>
      <c r="C129" s="17" t="s">
        <v>39</v>
      </c>
      <c r="D129" s="22" t="n">
        <v>45928</v>
      </c>
      <c r="E129" s="18" t="s">
        <v>282</v>
      </c>
      <c r="F129" s="17" t="s">
        <v>283</v>
      </c>
      <c r="G129" s="18" t="s">
        <v>65</v>
      </c>
      <c r="H129" s="18" t="n">
        <v>4.58</v>
      </c>
      <c r="I129" s="18" t="n">
        <v>600</v>
      </c>
      <c r="J129" s="18" t="n">
        <v>0.5892</v>
      </c>
      <c r="K129" s="18" t="n">
        <v>2.7</v>
      </c>
      <c r="L129" s="18" t="n">
        <v>0.83</v>
      </c>
      <c r="M129" s="18" t="n">
        <v>4.24</v>
      </c>
      <c r="N129" s="16"/>
    </row>
    <row r="130" customFormat="false" ht="18" hidden="false" customHeight="true" outlineLevel="0" collapsed="false">
      <c r="B130" s="19" t="s">
        <v>362</v>
      </c>
      <c r="C130" s="20" t="s">
        <v>137</v>
      </c>
      <c r="D130" s="23" t="n">
        <v>45930</v>
      </c>
      <c r="E130" s="21" t="s">
        <v>336</v>
      </c>
      <c r="F130" s="19"/>
      <c r="G130" s="21"/>
      <c r="H130" s="21"/>
      <c r="I130" s="21" t="n">
        <v>460</v>
      </c>
      <c r="J130" s="21"/>
      <c r="K130" s="21"/>
      <c r="L130" s="21" t="n">
        <v>1.09</v>
      </c>
      <c r="M130" s="21" t="s">
        <v>49</v>
      </c>
      <c r="N130" s="19" t="s">
        <v>50</v>
      </c>
    </row>
    <row r="131" customFormat="false" ht="18" hidden="false" customHeight="true" outlineLevel="0" collapsed="false">
      <c r="B131" s="16" t="s">
        <v>363</v>
      </c>
      <c r="C131" s="17" t="s">
        <v>137</v>
      </c>
      <c r="D131" s="22" t="n">
        <v>45930</v>
      </c>
      <c r="E131" s="18" t="s">
        <v>162</v>
      </c>
      <c r="F131" s="16"/>
      <c r="G131" s="18"/>
      <c r="H131" s="18"/>
      <c r="I131" s="18" t="n">
        <v>3568</v>
      </c>
      <c r="J131" s="18"/>
      <c r="K131" s="18"/>
      <c r="L131" s="18" t="n">
        <v>0.14</v>
      </c>
      <c r="M131" s="18" t="s">
        <v>49</v>
      </c>
      <c r="N131" s="16" t="s">
        <v>50</v>
      </c>
    </row>
    <row r="132" customFormat="false" ht="18" hidden="false" customHeight="true" outlineLevel="0" collapsed="false">
      <c r="B132" s="19" t="s">
        <v>364</v>
      </c>
      <c r="C132" s="20" t="s">
        <v>137</v>
      </c>
      <c r="D132" s="23" t="n">
        <v>45930</v>
      </c>
      <c r="E132" s="21" t="s">
        <v>318</v>
      </c>
      <c r="F132" s="19"/>
      <c r="G132" s="21"/>
      <c r="H132" s="21"/>
      <c r="I132" s="21" t="n">
        <v>972</v>
      </c>
      <c r="J132" s="21"/>
      <c r="K132" s="21"/>
      <c r="L132" s="21" t="n">
        <v>0.51</v>
      </c>
      <c r="M132" s="21" t="s">
        <v>49</v>
      </c>
      <c r="N132" s="19" t="s">
        <v>50</v>
      </c>
    </row>
    <row r="133" customFormat="false" ht="18" hidden="false" customHeight="true" outlineLevel="0" collapsed="false">
      <c r="B133" s="16" t="s">
        <v>365</v>
      </c>
      <c r="C133" s="17" t="s">
        <v>137</v>
      </c>
      <c r="D133" s="22" t="n">
        <v>45930</v>
      </c>
      <c r="E133" s="18" t="s">
        <v>138</v>
      </c>
      <c r="F133" s="16"/>
      <c r="G133" s="18"/>
      <c r="H133" s="18"/>
      <c r="I133" s="18" t="n">
        <v>16300</v>
      </c>
      <c r="J133" s="18"/>
      <c r="K133" s="18"/>
      <c r="L133" s="18" t="n">
        <v>0.03</v>
      </c>
      <c r="M133" s="18" t="s">
        <v>49</v>
      </c>
      <c r="N133" s="16" t="s">
        <v>50</v>
      </c>
    </row>
    <row r="134" customFormat="false" ht="18" hidden="false" customHeight="true" outlineLevel="0" collapsed="false">
      <c r="B134" s="19" t="s">
        <v>366</v>
      </c>
      <c r="C134" s="20" t="s">
        <v>137</v>
      </c>
      <c r="D134" s="23" t="n">
        <v>45930</v>
      </c>
      <c r="E134" s="21" t="s">
        <v>140</v>
      </c>
      <c r="F134" s="19"/>
      <c r="G134" s="21"/>
      <c r="H134" s="21"/>
      <c r="I134" s="21" t="n">
        <v>5844</v>
      </c>
      <c r="J134" s="21"/>
      <c r="K134" s="21"/>
      <c r="L134" s="21" t="n">
        <v>0.09</v>
      </c>
      <c r="M134" s="21" t="s">
        <v>49</v>
      </c>
      <c r="N134" s="19" t="s">
        <v>50</v>
      </c>
    </row>
    <row r="135" customFormat="false" ht="18" hidden="false" customHeight="true" outlineLevel="0" collapsed="false">
      <c r="B135" s="16" t="s">
        <v>367</v>
      </c>
      <c r="C135" s="17" t="s">
        <v>137</v>
      </c>
      <c r="D135" s="22" t="n">
        <v>45930</v>
      </c>
      <c r="E135" s="18" t="s">
        <v>142</v>
      </c>
      <c r="F135" s="16"/>
      <c r="G135" s="18"/>
      <c r="H135" s="18"/>
      <c r="I135" s="18" t="n">
        <v>6818</v>
      </c>
      <c r="J135" s="18"/>
      <c r="K135" s="18"/>
      <c r="L135" s="18" t="n">
        <v>0.07</v>
      </c>
      <c r="M135" s="18" t="s">
        <v>49</v>
      </c>
      <c r="N135" s="16" t="s">
        <v>50</v>
      </c>
    </row>
    <row r="136" customFormat="false" ht="18" hidden="false" customHeight="true" outlineLevel="0" collapsed="false">
      <c r="B136" s="19" t="s">
        <v>368</v>
      </c>
      <c r="C136" s="20" t="s">
        <v>137</v>
      </c>
      <c r="D136" s="23" t="n">
        <v>45930</v>
      </c>
      <c r="E136" s="21" t="s">
        <v>144</v>
      </c>
      <c r="F136" s="19"/>
      <c r="G136" s="21"/>
      <c r="H136" s="21"/>
      <c r="I136" s="21" t="n">
        <v>7826</v>
      </c>
      <c r="J136" s="21"/>
      <c r="K136" s="21"/>
      <c r="L136" s="21" t="n">
        <v>0.06</v>
      </c>
      <c r="M136" s="21" t="s">
        <v>49</v>
      </c>
      <c r="N136" s="19" t="s">
        <v>50</v>
      </c>
    </row>
    <row r="137" customFormat="false" ht="18" hidden="false" customHeight="true" outlineLevel="0" collapsed="false">
      <c r="B137" s="16" t="s">
        <v>369</v>
      </c>
      <c r="C137" s="17" t="s">
        <v>39</v>
      </c>
      <c r="D137" s="22" t="n">
        <v>45939</v>
      </c>
      <c r="E137" s="18" t="s">
        <v>370</v>
      </c>
      <c r="F137" s="16"/>
      <c r="G137" s="18"/>
      <c r="H137" s="18"/>
      <c r="I137" s="18" t="n">
        <v>400</v>
      </c>
      <c r="J137" s="18"/>
      <c r="K137" s="18"/>
      <c r="L137" s="18" t="n">
        <v>1.25</v>
      </c>
      <c r="M137" s="18" t="s">
        <v>49</v>
      </c>
      <c r="N137" s="16" t="s">
        <v>50</v>
      </c>
    </row>
    <row r="138" customFormat="false" ht="18" hidden="false" customHeight="true" outlineLevel="0" collapsed="false">
      <c r="B138" s="19" t="s">
        <v>371</v>
      </c>
      <c r="C138" s="20" t="s">
        <v>312</v>
      </c>
      <c r="D138" s="23" t="n">
        <v>45939</v>
      </c>
      <c r="E138" s="21" t="s">
        <v>372</v>
      </c>
      <c r="F138" s="19" t="s">
        <v>86</v>
      </c>
      <c r="G138" s="21" t="s">
        <v>49</v>
      </c>
      <c r="H138" s="21"/>
      <c r="I138" s="21" t="n">
        <v>860</v>
      </c>
      <c r="J138" s="21" t="n">
        <v>0.228</v>
      </c>
      <c r="K138" s="21"/>
      <c r="L138" s="21" t="n">
        <v>0.58</v>
      </c>
      <c r="M138" s="21" t="s">
        <v>49</v>
      </c>
      <c r="N138" s="19" t="s">
        <v>81</v>
      </c>
    </row>
    <row r="139" customFormat="false" ht="18" hidden="false" customHeight="true" outlineLevel="0" collapsed="false">
      <c r="B139" s="16" t="s">
        <v>373</v>
      </c>
      <c r="C139" s="17" t="s">
        <v>312</v>
      </c>
      <c r="D139" s="22" t="n">
        <v>45939</v>
      </c>
      <c r="E139" s="18" t="s">
        <v>374</v>
      </c>
      <c r="F139" s="17" t="s">
        <v>190</v>
      </c>
      <c r="G139" s="18" t="s">
        <v>43</v>
      </c>
      <c r="H139" s="18" t="n">
        <v>3.26</v>
      </c>
      <c r="I139" s="18" t="n">
        <v>1260</v>
      </c>
      <c r="J139" s="18" t="n">
        <v>0.3606</v>
      </c>
      <c r="K139" s="18" t="n">
        <v>1.18</v>
      </c>
      <c r="L139" s="18" t="n">
        <v>0.4</v>
      </c>
      <c r="M139" s="18" t="n">
        <v>1.89</v>
      </c>
      <c r="N139" s="16"/>
    </row>
    <row r="140" customFormat="false" ht="18" hidden="false" customHeight="true" outlineLevel="0" collapsed="false">
      <c r="B140" s="19" t="s">
        <v>375</v>
      </c>
      <c r="C140" s="20" t="s">
        <v>312</v>
      </c>
      <c r="D140" s="23" t="n">
        <v>45939</v>
      </c>
      <c r="E140" s="21" t="s">
        <v>376</v>
      </c>
      <c r="F140" s="20" t="s">
        <v>377</v>
      </c>
      <c r="G140" s="21" t="s">
        <v>43</v>
      </c>
      <c r="H140" s="21" t="n">
        <v>3.26</v>
      </c>
      <c r="I140" s="21" t="n">
        <v>430</v>
      </c>
      <c r="J140" s="21" t="n">
        <v>0.9045</v>
      </c>
      <c r="K140" s="21" t="n">
        <v>2.95</v>
      </c>
      <c r="L140" s="21" t="n">
        <v>1.16</v>
      </c>
      <c r="M140" s="21" t="n">
        <v>4.93</v>
      </c>
      <c r="N140" s="19"/>
    </row>
    <row r="141" customFormat="false" ht="18" hidden="false" customHeight="true" outlineLevel="0" collapsed="false">
      <c r="B141" s="16" t="s">
        <v>378</v>
      </c>
      <c r="C141" s="17" t="s">
        <v>312</v>
      </c>
      <c r="D141" s="22" t="n">
        <v>45939</v>
      </c>
      <c r="E141" s="18" t="s">
        <v>379</v>
      </c>
      <c r="F141" s="17" t="s">
        <v>314</v>
      </c>
      <c r="G141" s="18" t="s">
        <v>65</v>
      </c>
      <c r="H141" s="18" t="n">
        <v>4.58</v>
      </c>
      <c r="I141" s="18" t="n">
        <v>630</v>
      </c>
      <c r="J141" s="18" t="n">
        <v>1.1961</v>
      </c>
      <c r="K141" s="18" t="n">
        <v>5.48</v>
      </c>
      <c r="L141" s="18" t="n">
        <v>0.79</v>
      </c>
      <c r="M141" s="18" t="n">
        <v>7.53</v>
      </c>
      <c r="N141" s="16"/>
    </row>
    <row r="142" customFormat="false" ht="18" hidden="false" customHeight="true" outlineLevel="0" collapsed="false">
      <c r="B142" s="19" t="s">
        <v>380</v>
      </c>
      <c r="C142" s="20" t="s">
        <v>381</v>
      </c>
      <c r="D142" s="23" t="n">
        <v>45939</v>
      </c>
      <c r="E142" s="21" t="s">
        <v>382</v>
      </c>
      <c r="F142" s="20" t="s">
        <v>257</v>
      </c>
      <c r="G142" s="21" t="s">
        <v>56</v>
      </c>
      <c r="H142" s="21" t="n">
        <v>4.13</v>
      </c>
      <c r="I142" s="21" t="n">
        <v>1000</v>
      </c>
      <c r="J142" s="21" t="n">
        <v>0.4216</v>
      </c>
      <c r="K142" s="21" t="n">
        <v>1.74</v>
      </c>
      <c r="L142" s="21" t="n">
        <v>0.5</v>
      </c>
      <c r="M142" s="21" t="n">
        <v>2.69</v>
      </c>
      <c r="N142" s="19"/>
    </row>
    <row r="143" customFormat="false" ht="18" hidden="false" customHeight="true" outlineLevel="0" collapsed="false">
      <c r="B143" s="16" t="s">
        <v>383</v>
      </c>
      <c r="C143" s="17" t="s">
        <v>39</v>
      </c>
      <c r="D143" s="22" t="n">
        <v>45943</v>
      </c>
      <c r="E143" s="18" t="s">
        <v>338</v>
      </c>
      <c r="F143" s="17" t="s">
        <v>339</v>
      </c>
      <c r="G143" s="18" t="s">
        <v>65</v>
      </c>
      <c r="H143" s="18" t="n">
        <v>4.58</v>
      </c>
      <c r="I143" s="18" t="n">
        <v>500</v>
      </c>
      <c r="J143" s="18" t="n">
        <v>0.6853</v>
      </c>
      <c r="K143" s="18" t="n">
        <v>3.14</v>
      </c>
      <c r="L143" s="18" t="n">
        <v>1</v>
      </c>
      <c r="M143" s="18" t="n">
        <v>4.97</v>
      </c>
      <c r="N143" s="16"/>
    </row>
    <row r="144" customFormat="false" ht="18" hidden="false" customHeight="true" outlineLevel="0" collapsed="false">
      <c r="B144" s="19" t="s">
        <v>362</v>
      </c>
      <c r="C144" s="20" t="s">
        <v>137</v>
      </c>
      <c r="D144" s="23" t="n">
        <v>45930</v>
      </c>
      <c r="E144" s="21" t="s">
        <v>336</v>
      </c>
      <c r="F144" s="19"/>
      <c r="G144" s="21"/>
      <c r="H144" s="21"/>
      <c r="I144" s="21" t="n">
        <v>1000</v>
      </c>
      <c r="J144" s="21"/>
      <c r="K144" s="21"/>
      <c r="L144" s="21" t="n">
        <v>0.5</v>
      </c>
      <c r="M144" s="21" t="s">
        <v>49</v>
      </c>
      <c r="N144" s="19" t="s">
        <v>50</v>
      </c>
    </row>
    <row r="145" customFormat="false" ht="18" hidden="false" customHeight="true" outlineLevel="0" collapsed="false">
      <c r="B145" s="16" t="s">
        <v>384</v>
      </c>
      <c r="C145" s="17" t="s">
        <v>101</v>
      </c>
      <c r="D145" s="18" t="s">
        <v>385</v>
      </c>
      <c r="E145" s="18" t="s">
        <v>110</v>
      </c>
      <c r="F145" s="17" t="s">
        <v>111</v>
      </c>
      <c r="G145" s="18" t="s">
        <v>49</v>
      </c>
      <c r="H145" s="18"/>
      <c r="I145" s="18" t="n">
        <v>2000</v>
      </c>
      <c r="J145" s="18" t="n">
        <v>0.3773</v>
      </c>
      <c r="K145" s="18"/>
      <c r="L145" s="18" t="n">
        <v>0.25</v>
      </c>
      <c r="M145" s="18" t="s">
        <v>49</v>
      </c>
      <c r="N145" s="16" t="s">
        <v>81</v>
      </c>
    </row>
    <row r="146" customFormat="false" ht="18" hidden="false" customHeight="true" outlineLevel="0" collapsed="false">
      <c r="B146" s="19" t="s">
        <v>386</v>
      </c>
      <c r="C146" s="20" t="s">
        <v>218</v>
      </c>
      <c r="D146" s="21" t="s">
        <v>387</v>
      </c>
      <c r="E146" s="21" t="s">
        <v>388</v>
      </c>
      <c r="F146" s="20" t="s">
        <v>220</v>
      </c>
      <c r="G146" s="21" t="s">
        <v>56</v>
      </c>
      <c r="H146" s="21" t="n">
        <v>4.13</v>
      </c>
      <c r="I146" s="21" t="n">
        <v>350</v>
      </c>
      <c r="J146" s="21" t="n">
        <v>1.3568</v>
      </c>
      <c r="K146" s="21" t="n">
        <v>5.6</v>
      </c>
      <c r="L146" s="21" t="n">
        <v>1.43</v>
      </c>
      <c r="M146" s="21" t="n">
        <v>8.44</v>
      </c>
      <c r="N146" s="19"/>
    </row>
    <row r="147" customFormat="false" ht="18" hidden="false" customHeight="true" outlineLevel="0" collapsed="false">
      <c r="B147" s="16" t="s">
        <v>389</v>
      </c>
      <c r="C147" s="17" t="s">
        <v>218</v>
      </c>
      <c r="D147" s="18" t="s">
        <v>387</v>
      </c>
      <c r="E147" s="18" t="s">
        <v>390</v>
      </c>
      <c r="F147" s="17" t="s">
        <v>220</v>
      </c>
      <c r="G147" s="18" t="s">
        <v>56</v>
      </c>
      <c r="H147" s="18" t="n">
        <v>4.13</v>
      </c>
      <c r="I147" s="18" t="n">
        <v>1500</v>
      </c>
      <c r="J147" s="18" t="n">
        <v>1.8343</v>
      </c>
      <c r="K147" s="18" t="n">
        <v>7.58</v>
      </c>
      <c r="L147" s="18" t="n">
        <v>0.33</v>
      </c>
      <c r="M147" s="18" t="n">
        <v>9.49</v>
      </c>
      <c r="N147" s="16"/>
    </row>
    <row r="148" customFormat="false" ht="18" hidden="false" customHeight="true" outlineLevel="0" collapsed="false">
      <c r="B148" s="19" t="s">
        <v>391</v>
      </c>
      <c r="C148" s="20" t="s">
        <v>218</v>
      </c>
      <c r="D148" s="21" t="s">
        <v>387</v>
      </c>
      <c r="E148" s="21" t="s">
        <v>392</v>
      </c>
      <c r="F148" s="20" t="s">
        <v>220</v>
      </c>
      <c r="G148" s="21" t="s">
        <v>56</v>
      </c>
      <c r="H148" s="21" t="n">
        <v>4.13</v>
      </c>
      <c r="I148" s="21" t="n">
        <v>350</v>
      </c>
      <c r="J148" s="21" t="n">
        <v>1.9007</v>
      </c>
      <c r="K148" s="21" t="n">
        <v>7.85</v>
      </c>
      <c r="L148" s="21" t="n">
        <v>1.43</v>
      </c>
      <c r="M148" s="21" t="n">
        <v>11.13</v>
      </c>
      <c r="N148" s="19"/>
    </row>
    <row r="149" customFormat="false" ht="18" hidden="false" customHeight="true" outlineLevel="0" collapsed="false">
      <c r="B149" s="16" t="s">
        <v>393</v>
      </c>
      <c r="C149" s="17" t="s">
        <v>218</v>
      </c>
      <c r="D149" s="18" t="s">
        <v>387</v>
      </c>
      <c r="E149" s="18" t="s">
        <v>394</v>
      </c>
      <c r="F149" s="17" t="s">
        <v>190</v>
      </c>
      <c r="G149" s="18" t="s">
        <v>43</v>
      </c>
      <c r="H149" s="18" t="n">
        <v>3.26</v>
      </c>
      <c r="I149" s="18" t="n">
        <v>3000</v>
      </c>
      <c r="J149" s="18" t="n">
        <v>0.2362</v>
      </c>
      <c r="K149" s="18" t="n">
        <v>0.77</v>
      </c>
      <c r="L149" s="18" t="n">
        <v>0.17</v>
      </c>
      <c r="M149" s="18" t="n">
        <v>1.12</v>
      </c>
      <c r="N149" s="16"/>
    </row>
    <row r="150" customFormat="false" ht="18" hidden="false" customHeight="true" outlineLevel="0" collapsed="false">
      <c r="B150" s="19" t="s">
        <v>395</v>
      </c>
      <c r="C150" s="20" t="s">
        <v>218</v>
      </c>
      <c r="D150" s="21" t="s">
        <v>387</v>
      </c>
      <c r="E150" s="21" t="s">
        <v>396</v>
      </c>
      <c r="F150" s="20" t="s">
        <v>190</v>
      </c>
      <c r="G150" s="21" t="s">
        <v>43</v>
      </c>
      <c r="H150" s="21" t="n">
        <v>3.26</v>
      </c>
      <c r="I150" s="21" t="n">
        <v>700</v>
      </c>
      <c r="J150" s="21" t="n">
        <v>0.2016</v>
      </c>
      <c r="K150" s="21" t="n">
        <v>0.66</v>
      </c>
      <c r="L150" s="21" t="n">
        <v>0.71</v>
      </c>
      <c r="M150" s="21" t="n">
        <v>1.65</v>
      </c>
      <c r="N150" s="19"/>
    </row>
    <row r="151" customFormat="false" ht="18" hidden="false" customHeight="true" outlineLevel="0" collapsed="false">
      <c r="B151" s="16" t="s">
        <v>397</v>
      </c>
      <c r="C151" s="17" t="s">
        <v>218</v>
      </c>
      <c r="D151" s="18" t="s">
        <v>387</v>
      </c>
      <c r="E151" s="18" t="s">
        <v>398</v>
      </c>
      <c r="F151" s="17" t="s">
        <v>190</v>
      </c>
      <c r="G151" s="18" t="s">
        <v>43</v>
      </c>
      <c r="H151" s="18" t="n">
        <v>3.26</v>
      </c>
      <c r="I151" s="18" t="n">
        <v>700</v>
      </c>
      <c r="J151" s="18" t="n">
        <v>0.297</v>
      </c>
      <c r="K151" s="18" t="n">
        <v>0.97</v>
      </c>
      <c r="L151" s="18" t="n">
        <v>0.71</v>
      </c>
      <c r="M151" s="18" t="n">
        <v>2.02</v>
      </c>
      <c r="N151" s="16"/>
    </row>
    <row r="152" customFormat="false" ht="18" hidden="false" customHeight="true" outlineLevel="0" collapsed="false">
      <c r="B152" s="19" t="s">
        <v>399</v>
      </c>
      <c r="C152" s="20" t="s">
        <v>72</v>
      </c>
      <c r="D152" s="21" t="s">
        <v>400</v>
      </c>
      <c r="E152" s="21" t="s">
        <v>401</v>
      </c>
      <c r="F152" s="20" t="s">
        <v>210</v>
      </c>
      <c r="G152" s="21" t="s">
        <v>43</v>
      </c>
      <c r="H152" s="21" t="n">
        <v>3.26</v>
      </c>
      <c r="I152" s="21" t="n">
        <v>500</v>
      </c>
      <c r="J152" s="21" t="n">
        <v>0.5153</v>
      </c>
      <c r="K152" s="21" t="n">
        <v>1.68</v>
      </c>
      <c r="L152" s="21" t="n">
        <v>1</v>
      </c>
      <c r="M152" s="21" t="n">
        <v>3.22</v>
      </c>
      <c r="N152" s="19"/>
    </row>
    <row r="153" customFormat="false" ht="18" hidden="false" customHeight="true" outlineLevel="0" collapsed="false">
      <c r="B153" s="16" t="s">
        <v>402</v>
      </c>
      <c r="C153" s="17" t="s">
        <v>72</v>
      </c>
      <c r="D153" s="18" t="s">
        <v>400</v>
      </c>
      <c r="E153" s="18" t="s">
        <v>403</v>
      </c>
      <c r="F153" s="17" t="s">
        <v>314</v>
      </c>
      <c r="G153" s="18" t="s">
        <v>65</v>
      </c>
      <c r="H153" s="18" t="n">
        <v>4.58</v>
      </c>
      <c r="I153" s="18" t="n">
        <v>1010</v>
      </c>
      <c r="J153" s="18" t="n">
        <v>1.0039</v>
      </c>
      <c r="K153" s="18" t="n">
        <v>4.6</v>
      </c>
      <c r="L153" s="18" t="n">
        <v>0.5</v>
      </c>
      <c r="M153" s="18" t="n">
        <v>6.11</v>
      </c>
      <c r="N153" s="16"/>
    </row>
    <row r="154" customFormat="false" ht="18" hidden="false" customHeight="true" outlineLevel="0" collapsed="false">
      <c r="B154" s="19" t="s">
        <v>404</v>
      </c>
      <c r="C154" s="20" t="s">
        <v>72</v>
      </c>
      <c r="D154" s="21" t="s">
        <v>400</v>
      </c>
      <c r="E154" s="21" t="s">
        <v>405</v>
      </c>
      <c r="F154" s="20" t="s">
        <v>314</v>
      </c>
      <c r="G154" s="21" t="s">
        <v>65</v>
      </c>
      <c r="H154" s="21" t="n">
        <v>4.58</v>
      </c>
      <c r="I154" s="21" t="n">
        <v>500</v>
      </c>
      <c r="J154" s="21" t="n">
        <v>2.3268</v>
      </c>
      <c r="K154" s="21" t="n">
        <v>10.66</v>
      </c>
      <c r="L154" s="21" t="n">
        <v>1</v>
      </c>
      <c r="M154" s="21" t="n">
        <v>13.99</v>
      </c>
      <c r="N154" s="19"/>
    </row>
    <row r="155" customFormat="false" ht="18" hidden="false" customHeight="true" outlineLevel="0" collapsed="false">
      <c r="B155" s="16" t="s">
        <v>406</v>
      </c>
      <c r="C155" s="17" t="s">
        <v>101</v>
      </c>
      <c r="D155" s="18" t="s">
        <v>387</v>
      </c>
      <c r="E155" s="18" t="s">
        <v>301</v>
      </c>
      <c r="F155" s="17" t="s">
        <v>302</v>
      </c>
      <c r="G155" s="18" t="s">
        <v>43</v>
      </c>
      <c r="H155" s="18" t="n">
        <v>3.26</v>
      </c>
      <c r="I155" s="18" t="n">
        <v>500</v>
      </c>
      <c r="J155" s="18" t="n">
        <v>0.642</v>
      </c>
      <c r="K155" s="18" t="n">
        <v>2.09</v>
      </c>
      <c r="L155" s="18" t="n">
        <v>1</v>
      </c>
      <c r="M155" s="18" t="n">
        <v>3.71</v>
      </c>
      <c r="N155" s="16"/>
    </row>
    <row r="156" customFormat="false" ht="18" hidden="false" customHeight="true" outlineLevel="0" collapsed="false">
      <c r="B156" s="19" t="s">
        <v>407</v>
      </c>
      <c r="C156" s="20" t="s">
        <v>101</v>
      </c>
      <c r="D156" s="21" t="s">
        <v>387</v>
      </c>
      <c r="E156" s="21" t="s">
        <v>304</v>
      </c>
      <c r="F156" s="20" t="s">
        <v>302</v>
      </c>
      <c r="G156" s="21" t="s">
        <v>43</v>
      </c>
      <c r="H156" s="21" t="n">
        <v>3.26</v>
      </c>
      <c r="I156" s="21" t="n">
        <v>3000</v>
      </c>
      <c r="J156" s="21" t="n">
        <v>0.5716</v>
      </c>
      <c r="K156" s="21" t="n">
        <v>1.86</v>
      </c>
      <c r="L156" s="21" t="n">
        <v>0.17</v>
      </c>
      <c r="M156" s="21" t="n">
        <v>2.44</v>
      </c>
      <c r="N156" s="19"/>
    </row>
    <row r="157" customFormat="false" ht="18" hidden="false" customHeight="true" outlineLevel="0" collapsed="false">
      <c r="B157" s="16" t="s">
        <v>408</v>
      </c>
      <c r="C157" s="17" t="s">
        <v>101</v>
      </c>
      <c r="D157" s="18" t="s">
        <v>387</v>
      </c>
      <c r="E157" s="18" t="s">
        <v>306</v>
      </c>
      <c r="F157" s="17" t="s">
        <v>302</v>
      </c>
      <c r="G157" s="18" t="s">
        <v>43</v>
      </c>
      <c r="H157" s="18" t="n">
        <v>3.26</v>
      </c>
      <c r="I157" s="18" t="n">
        <v>1000</v>
      </c>
      <c r="J157" s="18" t="n">
        <v>0.6624</v>
      </c>
      <c r="K157" s="18" t="n">
        <v>2.16</v>
      </c>
      <c r="L157" s="18" t="n">
        <v>0.5</v>
      </c>
      <c r="M157" s="18" t="n">
        <v>3.19</v>
      </c>
      <c r="N157" s="16"/>
    </row>
    <row r="158" customFormat="false" ht="18" hidden="false" customHeight="true" outlineLevel="0" collapsed="false">
      <c r="B158" s="19" t="s">
        <v>409</v>
      </c>
      <c r="C158" s="20" t="s">
        <v>101</v>
      </c>
      <c r="D158" s="21" t="s">
        <v>387</v>
      </c>
      <c r="E158" s="21" t="s">
        <v>308</v>
      </c>
      <c r="F158" s="20" t="s">
        <v>302</v>
      </c>
      <c r="G158" s="21" t="s">
        <v>43</v>
      </c>
      <c r="H158" s="21" t="n">
        <v>3.26</v>
      </c>
      <c r="I158" s="21" t="n">
        <v>500</v>
      </c>
      <c r="J158" s="21" t="n">
        <v>0.7642</v>
      </c>
      <c r="K158" s="21" t="n">
        <v>2.49</v>
      </c>
      <c r="L158" s="21" t="n">
        <v>1</v>
      </c>
      <c r="M158" s="21" t="n">
        <v>4.19</v>
      </c>
      <c r="N158" s="19"/>
    </row>
    <row r="159" customFormat="false" ht="18" hidden="false" customHeight="true" outlineLevel="0" collapsed="false">
      <c r="B159" s="16" t="s">
        <v>410</v>
      </c>
      <c r="C159" s="17" t="s">
        <v>411</v>
      </c>
      <c r="D159" s="18" t="s">
        <v>412</v>
      </c>
      <c r="E159" s="18" t="s">
        <v>413</v>
      </c>
      <c r="F159" s="17" t="s">
        <v>414</v>
      </c>
      <c r="G159" s="18" t="s">
        <v>131</v>
      </c>
      <c r="H159" s="18" t="n">
        <v>5.23</v>
      </c>
      <c r="I159" s="18" t="n">
        <v>500</v>
      </c>
      <c r="J159" s="18" t="n">
        <v>0.9775</v>
      </c>
      <c r="K159" s="18" t="n">
        <v>5.11</v>
      </c>
      <c r="L159" s="18" t="n">
        <v>1</v>
      </c>
      <c r="M159" s="18" t="n">
        <v>7.33</v>
      </c>
      <c r="N159" s="16"/>
    </row>
    <row r="160" customFormat="false" ht="18" hidden="false" customHeight="true" outlineLevel="0" collapsed="false">
      <c r="B160" s="19" t="s">
        <v>415</v>
      </c>
      <c r="C160" s="20" t="s">
        <v>39</v>
      </c>
      <c r="D160" s="21" t="s">
        <v>400</v>
      </c>
      <c r="E160" s="21" t="s">
        <v>287</v>
      </c>
      <c r="F160" s="20" t="s">
        <v>283</v>
      </c>
      <c r="G160" s="21" t="s">
        <v>65</v>
      </c>
      <c r="H160" s="21" t="n">
        <v>4.58</v>
      </c>
      <c r="I160" s="21" t="n">
        <v>600</v>
      </c>
      <c r="J160" s="21" t="n">
        <v>0.7952</v>
      </c>
      <c r="K160" s="21" t="n">
        <v>3.64</v>
      </c>
      <c r="L160" s="21" t="n">
        <v>0.83</v>
      </c>
      <c r="M160" s="21" t="n">
        <v>5.37</v>
      </c>
      <c r="N160" s="19"/>
    </row>
    <row r="161" customFormat="false" ht="18" hidden="false" customHeight="true" outlineLevel="0" collapsed="false">
      <c r="B161" s="16" t="s">
        <v>416</v>
      </c>
      <c r="C161" s="17" t="s">
        <v>39</v>
      </c>
      <c r="D161" s="18" t="s">
        <v>400</v>
      </c>
      <c r="E161" s="18" t="s">
        <v>285</v>
      </c>
      <c r="F161" s="17" t="s">
        <v>283</v>
      </c>
      <c r="G161" s="18" t="s">
        <v>65</v>
      </c>
      <c r="H161" s="18" t="n">
        <v>4.58</v>
      </c>
      <c r="I161" s="18" t="n">
        <v>600</v>
      </c>
      <c r="J161" s="18" t="n">
        <v>0.8065</v>
      </c>
      <c r="K161" s="18" t="n">
        <v>3.69</v>
      </c>
      <c r="L161" s="18" t="n">
        <v>0.83</v>
      </c>
      <c r="M161" s="18" t="n">
        <v>5.43</v>
      </c>
      <c r="N161" s="16"/>
    </row>
    <row r="162" customFormat="false" ht="18" hidden="false" customHeight="true" outlineLevel="0" collapsed="false">
      <c r="B162" s="19" t="s">
        <v>417</v>
      </c>
      <c r="C162" s="20" t="s">
        <v>39</v>
      </c>
      <c r="D162" s="21" t="s">
        <v>400</v>
      </c>
      <c r="E162" s="21" t="s">
        <v>244</v>
      </c>
      <c r="F162" s="19" t="s">
        <v>245</v>
      </c>
      <c r="G162" s="21" t="s">
        <v>43</v>
      </c>
      <c r="H162" s="21" t="n">
        <v>3.26</v>
      </c>
      <c r="I162" s="21" t="n">
        <v>600</v>
      </c>
      <c r="J162" s="21" t="n">
        <v>0.9246</v>
      </c>
      <c r="K162" s="21" t="n">
        <v>3.01</v>
      </c>
      <c r="L162" s="21" t="n">
        <v>0.83</v>
      </c>
      <c r="M162" s="21" t="n">
        <v>4.62</v>
      </c>
      <c r="N162" s="19"/>
    </row>
    <row r="163" customFormat="false" ht="18" hidden="false" customHeight="true" outlineLevel="0" collapsed="false">
      <c r="B163" s="16" t="s">
        <v>418</v>
      </c>
      <c r="C163" s="17" t="s">
        <v>133</v>
      </c>
      <c r="D163" s="18" t="s">
        <v>400</v>
      </c>
      <c r="E163" s="18" t="s">
        <v>419</v>
      </c>
      <c r="F163" s="16" t="s">
        <v>135</v>
      </c>
      <c r="G163" s="18" t="s">
        <v>49</v>
      </c>
      <c r="H163" s="18"/>
      <c r="I163" s="18" t="n">
        <v>500</v>
      </c>
      <c r="J163" s="18"/>
      <c r="K163" s="18"/>
      <c r="L163" s="18" t="n">
        <v>1</v>
      </c>
      <c r="M163" s="18" t="s">
        <v>49</v>
      </c>
      <c r="N163" s="16" t="s">
        <v>81</v>
      </c>
    </row>
    <row r="164" customFormat="false" ht="18" hidden="false" customHeight="true" outlineLevel="0" collapsed="false">
      <c r="B164" s="19" t="s">
        <v>420</v>
      </c>
      <c r="C164" s="20" t="s">
        <v>45</v>
      </c>
      <c r="D164" s="21" t="s">
        <v>421</v>
      </c>
      <c r="E164" s="21" t="s">
        <v>422</v>
      </c>
      <c r="F164" s="20" t="s">
        <v>115</v>
      </c>
      <c r="G164" s="21" t="s">
        <v>56</v>
      </c>
      <c r="H164" s="21" t="n">
        <v>4.13</v>
      </c>
      <c r="I164" s="21" t="n">
        <v>500</v>
      </c>
      <c r="J164" s="21" t="n">
        <v>0.8275</v>
      </c>
      <c r="K164" s="21" t="n">
        <v>3.42</v>
      </c>
      <c r="L164" s="21" t="n">
        <v>1</v>
      </c>
      <c r="M164" s="21" t="n">
        <v>5.3</v>
      </c>
      <c r="N164" s="19"/>
    </row>
    <row r="165" customFormat="false" ht="18" hidden="false" customHeight="true" outlineLevel="0" collapsed="false">
      <c r="B165" s="16" t="s">
        <v>423</v>
      </c>
      <c r="C165" s="17" t="s">
        <v>351</v>
      </c>
      <c r="D165" s="18" t="s">
        <v>421</v>
      </c>
      <c r="E165" s="18" t="s">
        <v>424</v>
      </c>
      <c r="F165" s="16"/>
      <c r="G165" s="18"/>
      <c r="H165" s="18"/>
      <c r="I165" s="18" t="n">
        <v>3000</v>
      </c>
      <c r="J165" s="18"/>
      <c r="K165" s="18"/>
      <c r="L165" s="18" t="n">
        <v>0.17</v>
      </c>
      <c r="M165" s="18" t="s">
        <v>49</v>
      </c>
      <c r="N165" s="16" t="s">
        <v>50</v>
      </c>
    </row>
    <row r="166" customFormat="false" ht="18" hidden="false" customHeight="true" outlineLevel="0" collapsed="false">
      <c r="B166" s="19" t="s">
        <v>425</v>
      </c>
      <c r="C166" s="20" t="s">
        <v>276</v>
      </c>
      <c r="D166" s="21" t="s">
        <v>421</v>
      </c>
      <c r="E166" s="21" t="s">
        <v>426</v>
      </c>
      <c r="F166" s="19"/>
      <c r="G166" s="21"/>
      <c r="H166" s="21"/>
      <c r="I166" s="21" t="n">
        <v>10</v>
      </c>
      <c r="J166" s="21"/>
      <c r="K166" s="21"/>
      <c r="L166" s="21" t="n">
        <v>50</v>
      </c>
      <c r="M166" s="21" t="s">
        <v>49</v>
      </c>
      <c r="N166" s="19" t="s">
        <v>50</v>
      </c>
    </row>
    <row r="167" customFormat="false" ht="18" hidden="false" customHeight="true" outlineLevel="0" collapsed="false">
      <c r="B167" s="16" t="s">
        <v>427</v>
      </c>
      <c r="C167" s="17" t="s">
        <v>39</v>
      </c>
      <c r="D167" s="18" t="s">
        <v>428</v>
      </c>
      <c r="E167" s="18" t="s">
        <v>251</v>
      </c>
      <c r="F167" s="16" t="s">
        <v>245</v>
      </c>
      <c r="G167" s="18" t="s">
        <v>43</v>
      </c>
      <c r="H167" s="18" t="n">
        <v>3.26</v>
      </c>
      <c r="I167" s="18" t="n">
        <v>600</v>
      </c>
      <c r="J167" s="18" t="n">
        <v>0.8585</v>
      </c>
      <c r="K167" s="18" t="n">
        <v>2.8</v>
      </c>
      <c r="L167" s="18" t="n">
        <v>0.83</v>
      </c>
      <c r="M167" s="18" t="n">
        <v>4.36</v>
      </c>
      <c r="N167" s="16"/>
    </row>
    <row r="168" customFormat="false" ht="18" hidden="false" customHeight="true" outlineLevel="0" collapsed="false">
      <c r="B168" s="19" t="s">
        <v>429</v>
      </c>
      <c r="C168" s="20" t="s">
        <v>39</v>
      </c>
      <c r="D168" s="21" t="s">
        <v>428</v>
      </c>
      <c r="E168" s="21" t="s">
        <v>430</v>
      </c>
      <c r="F168" s="19" t="s">
        <v>245</v>
      </c>
      <c r="G168" s="21" t="s">
        <v>43</v>
      </c>
      <c r="H168" s="21" t="n">
        <v>3.26</v>
      </c>
      <c r="I168" s="21" t="n">
        <v>600</v>
      </c>
      <c r="J168" s="21" t="n">
        <v>0.68</v>
      </c>
      <c r="K168" s="21" t="n">
        <v>2.22</v>
      </c>
      <c r="L168" s="21" t="n">
        <v>0.83</v>
      </c>
      <c r="M168" s="21" t="n">
        <v>3.66</v>
      </c>
      <c r="N168" s="19"/>
    </row>
    <row r="169" customFormat="false" ht="18" hidden="false" customHeight="true" outlineLevel="0" collapsed="false">
      <c r="B169" s="16" t="s">
        <v>431</v>
      </c>
      <c r="C169" s="17" t="s">
        <v>432</v>
      </c>
      <c r="D169" s="18" t="s">
        <v>428</v>
      </c>
      <c r="E169" s="18" t="s">
        <v>433</v>
      </c>
      <c r="F169" s="17" t="s">
        <v>434</v>
      </c>
      <c r="G169" s="18" t="s">
        <v>56</v>
      </c>
      <c r="H169" s="18" t="n">
        <v>4.13</v>
      </c>
      <c r="I169" s="18" t="n">
        <v>210</v>
      </c>
      <c r="J169" s="18" t="n">
        <v>0.9957</v>
      </c>
      <c r="K169" s="18" t="n">
        <v>4.11</v>
      </c>
      <c r="L169" s="18" t="n">
        <v>2.38</v>
      </c>
      <c r="M169" s="18" t="n">
        <v>7.79</v>
      </c>
      <c r="N169" s="16"/>
    </row>
    <row r="170" customFormat="false" ht="18" hidden="false" customHeight="true" outlineLevel="0" collapsed="false">
      <c r="B170" s="19" t="s">
        <v>435</v>
      </c>
      <c r="C170" s="20" t="s">
        <v>436</v>
      </c>
      <c r="D170" s="21" t="s">
        <v>428</v>
      </c>
      <c r="E170" s="21" t="s">
        <v>437</v>
      </c>
      <c r="F170" s="20" t="s">
        <v>438</v>
      </c>
      <c r="G170" s="21" t="s">
        <v>56</v>
      </c>
      <c r="H170" s="21" t="n">
        <v>4.13</v>
      </c>
      <c r="I170" s="21" t="n">
        <v>250</v>
      </c>
      <c r="J170" s="21" t="n">
        <v>1.1083</v>
      </c>
      <c r="K170" s="21" t="n">
        <v>4.58</v>
      </c>
      <c r="L170" s="21" t="n">
        <v>2</v>
      </c>
      <c r="M170" s="21" t="n">
        <v>7.89</v>
      </c>
      <c r="N170" s="19"/>
    </row>
    <row r="171" customFormat="false" ht="18" hidden="false" customHeight="true" outlineLevel="0" collapsed="false">
      <c r="B171" s="16" t="s">
        <v>439</v>
      </c>
      <c r="C171" s="17" t="s">
        <v>436</v>
      </c>
      <c r="D171" s="18" t="s">
        <v>428</v>
      </c>
      <c r="E171" s="18" t="s">
        <v>437</v>
      </c>
      <c r="F171" s="17" t="s">
        <v>438</v>
      </c>
      <c r="G171" s="18" t="s">
        <v>56</v>
      </c>
      <c r="H171" s="18" t="n">
        <v>4.13</v>
      </c>
      <c r="I171" s="18" t="n">
        <v>350</v>
      </c>
      <c r="J171" s="18" t="n">
        <v>1.1083</v>
      </c>
      <c r="K171" s="18" t="n">
        <v>4.58</v>
      </c>
      <c r="L171" s="18" t="n">
        <v>1.43</v>
      </c>
      <c r="M171" s="18" t="n">
        <v>7.21</v>
      </c>
      <c r="N171" s="16"/>
    </row>
    <row r="172" customFormat="false" ht="18" hidden="false" customHeight="true" outlineLevel="0" collapsed="false">
      <c r="B172" s="19" t="s">
        <v>440</v>
      </c>
      <c r="C172" s="20" t="s">
        <v>39</v>
      </c>
      <c r="D172" s="21" t="s">
        <v>428</v>
      </c>
      <c r="E172" s="21" t="s">
        <v>441</v>
      </c>
      <c r="F172" s="20" t="s">
        <v>168</v>
      </c>
      <c r="G172" s="21" t="s">
        <v>131</v>
      </c>
      <c r="H172" s="21" t="n">
        <v>5.23</v>
      </c>
      <c r="I172" s="21" t="n">
        <v>200</v>
      </c>
      <c r="J172" s="21" t="n">
        <v>0.7798</v>
      </c>
      <c r="K172" s="21" t="n">
        <v>4.08</v>
      </c>
      <c r="L172" s="21" t="n">
        <v>2.5</v>
      </c>
      <c r="M172" s="21" t="n">
        <v>7.89</v>
      </c>
      <c r="N172" s="19"/>
    </row>
    <row r="173" customFormat="false" ht="18" hidden="false" customHeight="true" outlineLevel="0" collapsed="false">
      <c r="B173" s="16" t="s">
        <v>442</v>
      </c>
      <c r="C173" s="17" t="s">
        <v>72</v>
      </c>
      <c r="D173" s="18" t="s">
        <v>428</v>
      </c>
      <c r="E173" s="18" t="n">
        <v>0</v>
      </c>
      <c r="F173" s="16"/>
      <c r="G173" s="18"/>
      <c r="H173" s="18"/>
      <c r="I173" s="18" t="n">
        <v>12</v>
      </c>
      <c r="J173" s="18"/>
      <c r="K173" s="18"/>
      <c r="L173" s="18" t="n">
        <v>41.67</v>
      </c>
      <c r="M173" s="18" t="s">
        <v>49</v>
      </c>
      <c r="N173" s="16" t="s">
        <v>50</v>
      </c>
    </row>
    <row r="174" customFormat="false" ht="18" hidden="false" customHeight="true" outlineLevel="0" collapsed="false">
      <c r="B174" s="19" t="s">
        <v>443</v>
      </c>
      <c r="C174" s="20" t="s">
        <v>52</v>
      </c>
      <c r="D174" s="21" t="s">
        <v>444</v>
      </c>
      <c r="E174" s="21" t="s">
        <v>327</v>
      </c>
      <c r="F174" s="19"/>
      <c r="G174" s="21"/>
      <c r="H174" s="21"/>
      <c r="I174" s="21" t="n">
        <v>300</v>
      </c>
      <c r="J174" s="21"/>
      <c r="K174" s="21"/>
      <c r="L174" s="21" t="n">
        <v>1.67</v>
      </c>
      <c r="M174" s="21" t="s">
        <v>49</v>
      </c>
      <c r="N174" s="19" t="s">
        <v>50</v>
      </c>
    </row>
    <row r="175" customFormat="false" ht="18" hidden="false" customHeight="true" outlineLevel="0" collapsed="false">
      <c r="B175" s="16" t="s">
        <v>445</v>
      </c>
      <c r="C175" s="17" t="s">
        <v>52</v>
      </c>
      <c r="D175" s="18" t="s">
        <v>444</v>
      </c>
      <c r="E175" s="18" t="s">
        <v>193</v>
      </c>
      <c r="F175" s="16"/>
      <c r="G175" s="18"/>
      <c r="H175" s="18"/>
      <c r="I175" s="18" t="n">
        <v>300</v>
      </c>
      <c r="J175" s="18"/>
      <c r="K175" s="18"/>
      <c r="L175" s="18" t="n">
        <v>1.67</v>
      </c>
      <c r="M175" s="18" t="s">
        <v>49</v>
      </c>
      <c r="N175" s="16" t="s">
        <v>50</v>
      </c>
    </row>
    <row r="176" customFormat="false" ht="18" hidden="false" customHeight="true" outlineLevel="0" collapsed="false">
      <c r="B176" s="19" t="s">
        <v>446</v>
      </c>
      <c r="C176" s="20" t="s">
        <v>52</v>
      </c>
      <c r="D176" s="21" t="s">
        <v>444</v>
      </c>
      <c r="E176" s="21" t="s">
        <v>195</v>
      </c>
      <c r="F176" s="19"/>
      <c r="G176" s="21"/>
      <c r="H176" s="21"/>
      <c r="I176" s="21" t="n">
        <v>200</v>
      </c>
      <c r="J176" s="21"/>
      <c r="K176" s="21"/>
      <c r="L176" s="21" t="n">
        <v>2.5</v>
      </c>
      <c r="M176" s="21" t="s">
        <v>49</v>
      </c>
      <c r="N176" s="19" t="s">
        <v>50</v>
      </c>
    </row>
    <row r="177" customFormat="false" ht="18" hidden="false" customHeight="true" outlineLevel="0" collapsed="false">
      <c r="B177" s="16" t="s">
        <v>447</v>
      </c>
      <c r="C177" s="17" t="s">
        <v>52</v>
      </c>
      <c r="D177" s="18" t="s">
        <v>444</v>
      </c>
      <c r="E177" s="18" t="s">
        <v>197</v>
      </c>
      <c r="F177" s="16"/>
      <c r="G177" s="18"/>
      <c r="H177" s="18"/>
      <c r="I177" s="18" t="n">
        <v>200</v>
      </c>
      <c r="J177" s="18"/>
      <c r="K177" s="18"/>
      <c r="L177" s="18" t="n">
        <v>2.5</v>
      </c>
      <c r="M177" s="18" t="s">
        <v>49</v>
      </c>
      <c r="N177" s="16" t="s">
        <v>50</v>
      </c>
    </row>
    <row r="178" customFormat="false" ht="18" hidden="false" customHeight="true" outlineLevel="0" collapsed="false">
      <c r="B178" s="19" t="s">
        <v>448</v>
      </c>
      <c r="C178" s="20" t="s">
        <v>45</v>
      </c>
      <c r="D178" s="21" t="s">
        <v>444</v>
      </c>
      <c r="E178" s="21" t="s">
        <v>449</v>
      </c>
      <c r="F178" s="20" t="s">
        <v>60</v>
      </c>
      <c r="G178" s="21" t="s">
        <v>43</v>
      </c>
      <c r="H178" s="21" t="n">
        <v>3.26</v>
      </c>
      <c r="I178" s="21" t="n">
        <v>5000</v>
      </c>
      <c r="J178" s="21"/>
      <c r="K178" s="21"/>
      <c r="L178" s="21" t="n">
        <v>0.1</v>
      </c>
      <c r="M178" s="21" t="s">
        <v>49</v>
      </c>
      <c r="N178" s="19" t="s">
        <v>50</v>
      </c>
    </row>
    <row r="179" customFormat="false" ht="18" hidden="false" customHeight="true" outlineLevel="0" collapsed="false">
      <c r="B179" s="16" t="s">
        <v>450</v>
      </c>
      <c r="C179" s="17" t="s">
        <v>451</v>
      </c>
      <c r="D179" s="18" t="s">
        <v>444</v>
      </c>
      <c r="E179" s="18" t="s">
        <v>452</v>
      </c>
      <c r="F179" s="17" t="s">
        <v>118</v>
      </c>
      <c r="G179" s="18" t="s">
        <v>56</v>
      </c>
      <c r="H179" s="18" t="n">
        <v>4.13</v>
      </c>
      <c r="I179" s="18" t="n">
        <v>1090</v>
      </c>
      <c r="J179" s="18" t="n">
        <v>1.7568</v>
      </c>
      <c r="K179" s="18" t="n">
        <v>7.26</v>
      </c>
      <c r="L179" s="18" t="n">
        <v>0.46</v>
      </c>
      <c r="M179" s="18" t="n">
        <v>9.26</v>
      </c>
      <c r="N179" s="16"/>
    </row>
    <row r="180" customFormat="false" ht="18" hidden="false" customHeight="true" outlineLevel="0" collapsed="false">
      <c r="B180" s="19" t="s">
        <v>453</v>
      </c>
      <c r="C180" s="20" t="s">
        <v>451</v>
      </c>
      <c r="D180" s="21" t="s">
        <v>444</v>
      </c>
      <c r="E180" s="21" t="s">
        <v>454</v>
      </c>
      <c r="F180" s="20" t="s">
        <v>118</v>
      </c>
      <c r="G180" s="21" t="s">
        <v>56</v>
      </c>
      <c r="H180" s="21" t="n">
        <v>4.13</v>
      </c>
      <c r="I180" s="21" t="n">
        <v>1030</v>
      </c>
      <c r="J180" s="21" t="n">
        <v>1.606</v>
      </c>
      <c r="K180" s="21" t="n">
        <v>6.63</v>
      </c>
      <c r="L180" s="21" t="n">
        <v>0.49</v>
      </c>
      <c r="M180" s="21" t="n">
        <v>8.54</v>
      </c>
      <c r="N180" s="19"/>
    </row>
    <row r="181" customFormat="false" ht="18" hidden="false" customHeight="true" outlineLevel="0" collapsed="false">
      <c r="B181" s="16" t="s">
        <v>455</v>
      </c>
      <c r="C181" s="17" t="s">
        <v>451</v>
      </c>
      <c r="D181" s="18" t="s">
        <v>456</v>
      </c>
      <c r="E181" s="18" t="s">
        <v>457</v>
      </c>
      <c r="F181" s="17" t="s">
        <v>118</v>
      </c>
      <c r="G181" s="18" t="s">
        <v>56</v>
      </c>
      <c r="H181" s="18" t="n">
        <v>4.13</v>
      </c>
      <c r="I181" s="18" t="n">
        <v>500</v>
      </c>
      <c r="J181" s="18" t="n">
        <v>0.7519</v>
      </c>
      <c r="K181" s="18" t="n">
        <v>3.11</v>
      </c>
      <c r="L181" s="18" t="n">
        <v>1</v>
      </c>
      <c r="M181" s="18" t="n">
        <v>4.93</v>
      </c>
      <c r="N181" s="16"/>
    </row>
    <row r="182" customFormat="false" ht="18" hidden="false" customHeight="true" outlineLevel="0" collapsed="false">
      <c r="B182" s="19" t="s">
        <v>458</v>
      </c>
      <c r="C182" s="20" t="s">
        <v>157</v>
      </c>
      <c r="D182" s="21" t="s">
        <v>444</v>
      </c>
      <c r="E182" s="21" t="s">
        <v>158</v>
      </c>
      <c r="F182" s="19"/>
      <c r="G182" s="21"/>
      <c r="H182" s="21"/>
      <c r="I182" s="21" t="n">
        <v>2400</v>
      </c>
      <c r="J182" s="21"/>
      <c r="K182" s="21"/>
      <c r="L182" s="21" t="n">
        <v>0.21</v>
      </c>
      <c r="M182" s="21" t="s">
        <v>49</v>
      </c>
      <c r="N182" s="19" t="s">
        <v>50</v>
      </c>
    </row>
    <row r="183" customFormat="false" ht="18" hidden="false" customHeight="true" outlineLevel="0" collapsed="false">
      <c r="B183" s="16" t="s">
        <v>459</v>
      </c>
      <c r="C183" s="17" t="s">
        <v>157</v>
      </c>
      <c r="D183" s="18" t="s">
        <v>444</v>
      </c>
      <c r="E183" s="18" t="s">
        <v>160</v>
      </c>
      <c r="F183" s="16"/>
      <c r="G183" s="18"/>
      <c r="H183" s="18"/>
      <c r="I183" s="18" t="n">
        <v>1200</v>
      </c>
      <c r="J183" s="18"/>
      <c r="K183" s="18"/>
      <c r="L183" s="18" t="n">
        <v>0.42</v>
      </c>
      <c r="M183" s="18" t="s">
        <v>49</v>
      </c>
      <c r="N183" s="16" t="s">
        <v>50</v>
      </c>
    </row>
    <row r="184" customFormat="false" ht="18" hidden="false" customHeight="true" outlineLevel="0" collapsed="false">
      <c r="B184" s="19" t="s">
        <v>460</v>
      </c>
      <c r="C184" s="20" t="s">
        <v>91</v>
      </c>
      <c r="D184" s="21" t="s">
        <v>444</v>
      </c>
      <c r="E184" s="21" t="s">
        <v>93</v>
      </c>
      <c r="F184" s="20" t="s">
        <v>94</v>
      </c>
      <c r="G184" s="21" t="s">
        <v>65</v>
      </c>
      <c r="H184" s="21" t="n">
        <v>4.58</v>
      </c>
      <c r="I184" s="21" t="n">
        <v>1200</v>
      </c>
      <c r="J184" s="21" t="n">
        <v>0.9703</v>
      </c>
      <c r="K184" s="21" t="n">
        <v>4.44</v>
      </c>
      <c r="L184" s="21" t="n">
        <v>0.42</v>
      </c>
      <c r="M184" s="21" t="n">
        <v>5.83</v>
      </c>
      <c r="N184" s="19"/>
    </row>
    <row r="185" customFormat="false" ht="18" hidden="false" customHeight="true" outlineLevel="0" collapsed="false">
      <c r="B185" s="16" t="s">
        <v>461</v>
      </c>
      <c r="C185" s="17" t="s">
        <v>278</v>
      </c>
      <c r="D185" s="18" t="s">
        <v>444</v>
      </c>
      <c r="E185" s="18" t="n">
        <v>0</v>
      </c>
      <c r="F185" s="16"/>
      <c r="G185" s="18"/>
      <c r="H185" s="18"/>
      <c r="I185" s="18" t="n">
        <v>7</v>
      </c>
      <c r="J185" s="18"/>
      <c r="K185" s="18"/>
      <c r="L185" s="18" t="n">
        <v>71.43</v>
      </c>
      <c r="M185" s="18" t="s">
        <v>49</v>
      </c>
      <c r="N185" s="16" t="s">
        <v>50</v>
      </c>
    </row>
    <row r="186" customFormat="false" ht="18" hidden="false" customHeight="true" outlineLevel="0" collapsed="false">
      <c r="B186" s="19" t="s">
        <v>462</v>
      </c>
      <c r="C186" s="20" t="s">
        <v>278</v>
      </c>
      <c r="D186" s="21" t="s">
        <v>444</v>
      </c>
      <c r="E186" s="21" t="n">
        <v>0</v>
      </c>
      <c r="F186" s="19"/>
      <c r="G186" s="21"/>
      <c r="H186" s="21"/>
      <c r="I186" s="21" t="n">
        <v>7</v>
      </c>
      <c r="J186" s="21"/>
      <c r="K186" s="21"/>
      <c r="L186" s="21" t="n">
        <v>71.43</v>
      </c>
      <c r="M186" s="21" t="s">
        <v>49</v>
      </c>
      <c r="N186" s="19" t="s">
        <v>50</v>
      </c>
    </row>
    <row r="187" customFormat="false" ht="18" hidden="false" customHeight="true" outlineLevel="0" collapsed="false">
      <c r="B187" s="16" t="s">
        <v>463</v>
      </c>
      <c r="C187" s="17" t="s">
        <v>278</v>
      </c>
      <c r="D187" s="18" t="s">
        <v>444</v>
      </c>
      <c r="E187" s="18" t="n">
        <v>0</v>
      </c>
      <c r="F187" s="16"/>
      <c r="G187" s="18"/>
      <c r="H187" s="18"/>
      <c r="I187" s="18" t="n">
        <v>7</v>
      </c>
      <c r="J187" s="18"/>
      <c r="K187" s="18"/>
      <c r="L187" s="18" t="n">
        <v>71.43</v>
      </c>
      <c r="M187" s="18" t="s">
        <v>49</v>
      </c>
      <c r="N187" s="16" t="s">
        <v>50</v>
      </c>
    </row>
    <row r="188" customFormat="false" ht="18" hidden="false" customHeight="true" outlineLevel="0" collapsed="false">
      <c r="B188" s="19" t="s">
        <v>464</v>
      </c>
      <c r="C188" s="20" t="s">
        <v>278</v>
      </c>
      <c r="D188" s="21" t="s">
        <v>444</v>
      </c>
      <c r="E188" s="21" t="n">
        <v>0</v>
      </c>
      <c r="F188" s="19"/>
      <c r="G188" s="21"/>
      <c r="H188" s="21"/>
      <c r="I188" s="21" t="n">
        <v>7</v>
      </c>
      <c r="J188" s="21"/>
      <c r="K188" s="21"/>
      <c r="L188" s="21" t="n">
        <v>71.43</v>
      </c>
      <c r="M188" s="21" t="s">
        <v>49</v>
      </c>
      <c r="N188" s="19" t="s">
        <v>50</v>
      </c>
    </row>
    <row r="189" customFormat="false" ht="18" hidden="false" customHeight="true" outlineLevel="0" collapsed="false">
      <c r="B189" s="16" t="s">
        <v>465</v>
      </c>
      <c r="C189" s="17" t="s">
        <v>466</v>
      </c>
      <c r="D189" s="18" t="s">
        <v>467</v>
      </c>
      <c r="E189" s="18" t="s">
        <v>468</v>
      </c>
      <c r="F189" s="17" t="s">
        <v>190</v>
      </c>
      <c r="G189" s="18" t="s">
        <v>43</v>
      </c>
      <c r="H189" s="18" t="n">
        <v>3.26</v>
      </c>
      <c r="I189" s="18" t="n">
        <v>1000</v>
      </c>
      <c r="J189" s="18" t="n">
        <v>0.25</v>
      </c>
      <c r="K189" s="18" t="n">
        <v>0.81</v>
      </c>
      <c r="L189" s="18" t="n">
        <v>0.5</v>
      </c>
      <c r="M189" s="18" t="n">
        <v>1.58</v>
      </c>
      <c r="N189" s="16"/>
    </row>
    <row r="190" customFormat="false" ht="18" hidden="false" customHeight="true" outlineLevel="0" collapsed="false">
      <c r="B190" s="19" t="s">
        <v>469</v>
      </c>
      <c r="C190" s="20" t="s">
        <v>466</v>
      </c>
      <c r="D190" s="21" t="s">
        <v>467</v>
      </c>
      <c r="E190" s="21" t="s">
        <v>470</v>
      </c>
      <c r="F190" s="20" t="s">
        <v>118</v>
      </c>
      <c r="G190" s="21" t="s">
        <v>56</v>
      </c>
      <c r="H190" s="21" t="n">
        <v>4.13</v>
      </c>
      <c r="I190" s="21" t="n">
        <v>500</v>
      </c>
      <c r="J190" s="21" t="n">
        <v>1.8922</v>
      </c>
      <c r="K190" s="21" t="n">
        <v>7.81</v>
      </c>
      <c r="L190" s="21" t="n">
        <v>1</v>
      </c>
      <c r="M190" s="21" t="n">
        <v>10.58</v>
      </c>
      <c r="N190" s="19"/>
    </row>
    <row r="191" customFormat="false" ht="18" hidden="false" customHeight="true" outlineLevel="0" collapsed="false">
      <c r="B191" s="16" t="s">
        <v>471</v>
      </c>
      <c r="C191" s="17" t="s">
        <v>466</v>
      </c>
      <c r="D191" s="18" t="s">
        <v>467</v>
      </c>
      <c r="E191" s="18" t="s">
        <v>472</v>
      </c>
      <c r="F191" s="17" t="s">
        <v>190</v>
      </c>
      <c r="G191" s="18" t="s">
        <v>43</v>
      </c>
      <c r="H191" s="18" t="n">
        <v>3.26</v>
      </c>
      <c r="I191" s="18" t="n">
        <v>1600</v>
      </c>
      <c r="J191" s="18" t="n">
        <v>0.2727</v>
      </c>
      <c r="K191" s="18" t="n">
        <v>0.89</v>
      </c>
      <c r="L191" s="18" t="n">
        <v>0.31</v>
      </c>
      <c r="M191" s="18" t="n">
        <v>1.44</v>
      </c>
      <c r="N191" s="16"/>
    </row>
    <row r="192" customFormat="false" ht="18" hidden="false" customHeight="true" outlineLevel="0" collapsed="false">
      <c r="B192" s="19" t="s">
        <v>473</v>
      </c>
      <c r="C192" s="20" t="s">
        <v>466</v>
      </c>
      <c r="D192" s="21" t="s">
        <v>467</v>
      </c>
      <c r="E192" s="21" t="s">
        <v>474</v>
      </c>
      <c r="F192" s="20" t="s">
        <v>118</v>
      </c>
      <c r="G192" s="21" t="s">
        <v>56</v>
      </c>
      <c r="H192" s="21" t="n">
        <v>4.13</v>
      </c>
      <c r="I192" s="21" t="n">
        <v>800</v>
      </c>
      <c r="J192" s="21" t="n">
        <v>2.0023</v>
      </c>
      <c r="K192" s="21" t="n">
        <v>8.27</v>
      </c>
      <c r="L192" s="21" t="n">
        <v>0.62</v>
      </c>
      <c r="M192" s="21" t="n">
        <v>10.67</v>
      </c>
      <c r="N192" s="19"/>
    </row>
    <row r="193" customFormat="false" ht="18" hidden="false" customHeight="true" outlineLevel="0" collapsed="false">
      <c r="B193" s="16" t="s">
        <v>475</v>
      </c>
      <c r="C193" s="17" t="s">
        <v>278</v>
      </c>
      <c r="D193" s="18" t="s">
        <v>444</v>
      </c>
      <c r="E193" s="18" t="s">
        <v>476</v>
      </c>
      <c r="F193" s="16" t="s">
        <v>477</v>
      </c>
      <c r="G193" s="18" t="s">
        <v>49</v>
      </c>
      <c r="H193" s="18"/>
      <c r="I193" s="18" t="n">
        <v>7</v>
      </c>
      <c r="J193" s="18" t="n">
        <v>2.0853</v>
      </c>
      <c r="K193" s="18"/>
      <c r="L193" s="18" t="n">
        <v>71.43</v>
      </c>
      <c r="M193" s="18" t="s">
        <v>49</v>
      </c>
      <c r="N193" s="16" t="s">
        <v>81</v>
      </c>
    </row>
    <row r="194" customFormat="false" ht="18" hidden="false" customHeight="true" outlineLevel="0" collapsed="false">
      <c r="B194" s="19" t="s">
        <v>478</v>
      </c>
      <c r="C194" s="20" t="s">
        <v>479</v>
      </c>
      <c r="D194" s="21" t="s">
        <v>467</v>
      </c>
      <c r="E194" s="21" t="s">
        <v>480</v>
      </c>
      <c r="F194" s="20" t="s">
        <v>353</v>
      </c>
      <c r="G194" s="21" t="s">
        <v>56</v>
      </c>
      <c r="H194" s="21" t="n">
        <v>4.13</v>
      </c>
      <c r="I194" s="21" t="n">
        <v>1600</v>
      </c>
      <c r="J194" s="21" t="n">
        <v>1.0633</v>
      </c>
      <c r="K194" s="21" t="n">
        <v>4.39</v>
      </c>
      <c r="L194" s="21" t="n">
        <v>0.31</v>
      </c>
      <c r="M194" s="21" t="n">
        <v>5.64</v>
      </c>
      <c r="N194" s="19"/>
    </row>
    <row r="195" customFormat="false" ht="18" hidden="false" customHeight="true" outlineLevel="0" collapsed="false">
      <c r="B195" s="16" t="s">
        <v>481</v>
      </c>
      <c r="C195" s="17" t="s">
        <v>479</v>
      </c>
      <c r="D195" s="18" t="s">
        <v>467</v>
      </c>
      <c r="E195" s="18" t="s">
        <v>482</v>
      </c>
      <c r="F195" s="17" t="s">
        <v>353</v>
      </c>
      <c r="G195" s="18" t="s">
        <v>56</v>
      </c>
      <c r="H195" s="18" t="n">
        <v>4.13</v>
      </c>
      <c r="I195" s="18" t="n">
        <v>1600</v>
      </c>
      <c r="J195" s="18" t="n">
        <v>0.6184</v>
      </c>
      <c r="K195" s="18" t="n">
        <v>2.55</v>
      </c>
      <c r="L195" s="18" t="n">
        <v>0.31</v>
      </c>
      <c r="M195" s="18" t="n">
        <v>3.44</v>
      </c>
      <c r="N195" s="16"/>
    </row>
    <row r="196" customFormat="false" ht="18" hidden="false" customHeight="true" outlineLevel="0" collapsed="false">
      <c r="B196" s="19" t="s">
        <v>483</v>
      </c>
      <c r="C196" s="20" t="s">
        <v>278</v>
      </c>
      <c r="D196" s="21" t="s">
        <v>444</v>
      </c>
      <c r="E196" s="21" t="n">
        <v>0</v>
      </c>
      <c r="F196" s="19"/>
      <c r="G196" s="21"/>
      <c r="H196" s="21"/>
      <c r="I196" s="21" t="n">
        <v>7</v>
      </c>
      <c r="J196" s="21"/>
      <c r="K196" s="21"/>
      <c r="L196" s="21" t="n">
        <v>71.43</v>
      </c>
      <c r="M196" s="21" t="s">
        <v>49</v>
      </c>
      <c r="N196" s="19" t="s">
        <v>50</v>
      </c>
    </row>
    <row r="197" customFormat="false" ht="18" hidden="false" customHeight="true" outlineLevel="0" collapsed="false">
      <c r="B197" s="16" t="s">
        <v>484</v>
      </c>
      <c r="C197" s="17" t="s">
        <v>278</v>
      </c>
      <c r="D197" s="18" t="s">
        <v>467</v>
      </c>
      <c r="E197" s="18" t="n">
        <v>0</v>
      </c>
      <c r="F197" s="16"/>
      <c r="G197" s="18"/>
      <c r="H197" s="18"/>
      <c r="I197" s="18" t="n">
        <v>90</v>
      </c>
      <c r="J197" s="18"/>
      <c r="K197" s="18"/>
      <c r="L197" s="18" t="n">
        <v>5.56</v>
      </c>
      <c r="M197" s="18" t="s">
        <v>49</v>
      </c>
      <c r="N197" s="16" t="s">
        <v>50</v>
      </c>
    </row>
    <row r="198" customFormat="false" ht="18" hidden="false" customHeight="true" outlineLevel="0" collapsed="false">
      <c r="B198" s="19" t="s">
        <v>485</v>
      </c>
      <c r="C198" s="20" t="s">
        <v>278</v>
      </c>
      <c r="D198" s="21" t="s">
        <v>467</v>
      </c>
      <c r="E198" s="21" t="n">
        <v>0</v>
      </c>
      <c r="F198" s="19"/>
      <c r="G198" s="21"/>
      <c r="H198" s="21"/>
      <c r="I198" s="21" t="n">
        <v>190</v>
      </c>
      <c r="J198" s="21"/>
      <c r="K198" s="21"/>
      <c r="L198" s="21" t="n">
        <v>2.63</v>
      </c>
      <c r="M198" s="21" t="s">
        <v>49</v>
      </c>
      <c r="N198" s="19" t="s">
        <v>50</v>
      </c>
    </row>
    <row r="199" customFormat="false" ht="18" hidden="false" customHeight="true" outlineLevel="0" collapsed="false">
      <c r="B199" s="16" t="s">
        <v>486</v>
      </c>
      <c r="C199" s="17" t="s">
        <v>278</v>
      </c>
      <c r="D199" s="18" t="s">
        <v>467</v>
      </c>
      <c r="E199" s="18" t="n">
        <v>0</v>
      </c>
      <c r="F199" s="16"/>
      <c r="G199" s="18"/>
      <c r="H199" s="18"/>
      <c r="I199" s="18" t="n">
        <v>90</v>
      </c>
      <c r="J199" s="18"/>
      <c r="K199" s="18"/>
      <c r="L199" s="18" t="n">
        <v>5.56</v>
      </c>
      <c r="M199" s="18" t="s">
        <v>49</v>
      </c>
      <c r="N199" s="16" t="s">
        <v>50</v>
      </c>
    </row>
    <row r="200" customFormat="false" ht="18" hidden="false" customHeight="true" outlineLevel="0" collapsed="false">
      <c r="B200" s="19" t="s">
        <v>487</v>
      </c>
      <c r="C200" s="20" t="s">
        <v>278</v>
      </c>
      <c r="D200" s="21" t="s">
        <v>467</v>
      </c>
      <c r="E200" s="21" t="n">
        <v>0</v>
      </c>
      <c r="F200" s="19"/>
      <c r="G200" s="21"/>
      <c r="H200" s="21"/>
      <c r="I200" s="21" t="n">
        <v>290</v>
      </c>
      <c r="J200" s="21"/>
      <c r="K200" s="21"/>
      <c r="L200" s="21" t="n">
        <v>1.72</v>
      </c>
      <c r="M200" s="21" t="s">
        <v>49</v>
      </c>
      <c r="N200" s="19" t="s">
        <v>50</v>
      </c>
    </row>
    <row r="201" customFormat="false" ht="18" hidden="false" customHeight="true" outlineLevel="0" collapsed="false">
      <c r="B201" s="16" t="s">
        <v>488</v>
      </c>
      <c r="C201" s="17" t="s">
        <v>91</v>
      </c>
      <c r="D201" s="18" t="s">
        <v>489</v>
      </c>
      <c r="E201" s="18" t="s">
        <v>129</v>
      </c>
      <c r="F201" s="17" t="s">
        <v>130</v>
      </c>
      <c r="G201" s="18" t="s">
        <v>131</v>
      </c>
      <c r="H201" s="18" t="n">
        <v>5.23</v>
      </c>
      <c r="I201" s="18" t="n">
        <v>1500</v>
      </c>
      <c r="J201" s="18" t="n">
        <v>1.0975</v>
      </c>
      <c r="K201" s="18" t="n">
        <v>5.74</v>
      </c>
      <c r="L201" s="18" t="n">
        <v>0.33</v>
      </c>
      <c r="M201" s="18" t="n">
        <v>7.29</v>
      </c>
      <c r="N201" s="16"/>
    </row>
    <row r="202" customFormat="false" ht="18" hidden="false" customHeight="true" outlineLevel="0" collapsed="false">
      <c r="B202" s="19" t="s">
        <v>490</v>
      </c>
      <c r="C202" s="20" t="s">
        <v>255</v>
      </c>
      <c r="D202" s="21" t="s">
        <v>489</v>
      </c>
      <c r="E202" s="21" t="s">
        <v>491</v>
      </c>
      <c r="F202" s="19"/>
      <c r="G202" s="21"/>
      <c r="H202" s="21"/>
      <c r="I202" s="21" t="n">
        <v>20</v>
      </c>
      <c r="J202" s="21"/>
      <c r="K202" s="21"/>
      <c r="L202" s="21" t="n">
        <v>25</v>
      </c>
      <c r="M202" s="21" t="s">
        <v>49</v>
      </c>
      <c r="N202" s="19" t="s">
        <v>50</v>
      </c>
    </row>
    <row r="203" customFormat="false" ht="18" hidden="false" customHeight="true" outlineLevel="0" collapsed="false">
      <c r="B203" s="16" t="s">
        <v>492</v>
      </c>
      <c r="C203" s="17" t="s">
        <v>255</v>
      </c>
      <c r="D203" s="18" t="s">
        <v>489</v>
      </c>
      <c r="E203" s="18" t="s">
        <v>493</v>
      </c>
      <c r="F203" s="16"/>
      <c r="G203" s="18"/>
      <c r="H203" s="18"/>
      <c r="I203" s="18" t="n">
        <v>20</v>
      </c>
      <c r="J203" s="18"/>
      <c r="K203" s="18"/>
      <c r="L203" s="18" t="n">
        <v>25</v>
      </c>
      <c r="M203" s="18" t="s">
        <v>49</v>
      </c>
      <c r="N203" s="16" t="s">
        <v>50</v>
      </c>
    </row>
    <row r="204" customFormat="false" ht="18" hidden="false" customHeight="true" outlineLevel="0" collapsed="false">
      <c r="B204" s="19" t="s">
        <v>494</v>
      </c>
      <c r="C204" s="20" t="s">
        <v>255</v>
      </c>
      <c r="D204" s="21" t="s">
        <v>489</v>
      </c>
      <c r="E204" s="21" t="s">
        <v>495</v>
      </c>
      <c r="F204" s="19"/>
      <c r="G204" s="21"/>
      <c r="H204" s="21"/>
      <c r="I204" s="21" t="n">
        <v>20</v>
      </c>
      <c r="J204" s="21"/>
      <c r="K204" s="21"/>
      <c r="L204" s="21" t="n">
        <v>25</v>
      </c>
      <c r="M204" s="21" t="s">
        <v>49</v>
      </c>
      <c r="N204" s="19" t="s">
        <v>50</v>
      </c>
    </row>
    <row r="205" customFormat="false" ht="18" hidden="false" customHeight="true" outlineLevel="0" collapsed="false">
      <c r="B205" s="16" t="s">
        <v>496</v>
      </c>
      <c r="C205" s="17" t="s">
        <v>255</v>
      </c>
      <c r="D205" s="18" t="s">
        <v>489</v>
      </c>
      <c r="E205" s="18" t="s">
        <v>497</v>
      </c>
      <c r="F205" s="16"/>
      <c r="G205" s="18"/>
      <c r="H205" s="18"/>
      <c r="I205" s="18" t="n">
        <v>10</v>
      </c>
      <c r="J205" s="18"/>
      <c r="K205" s="18"/>
      <c r="L205" s="18" t="n">
        <v>50</v>
      </c>
      <c r="M205" s="18" t="s">
        <v>49</v>
      </c>
      <c r="N205" s="16" t="s">
        <v>50</v>
      </c>
    </row>
    <row r="206" customFormat="false" ht="18" hidden="false" customHeight="true" outlineLevel="0" collapsed="false">
      <c r="B206" s="19" t="s">
        <v>498</v>
      </c>
      <c r="C206" s="20" t="s">
        <v>255</v>
      </c>
      <c r="D206" s="21" t="s">
        <v>489</v>
      </c>
      <c r="E206" s="21" t="s">
        <v>259</v>
      </c>
      <c r="F206" s="20" t="s">
        <v>118</v>
      </c>
      <c r="G206" s="21" t="s">
        <v>56</v>
      </c>
      <c r="H206" s="21" t="n">
        <v>4.13</v>
      </c>
      <c r="I206" s="21" t="n">
        <v>10</v>
      </c>
      <c r="J206" s="21" t="n">
        <v>0.9837</v>
      </c>
      <c r="K206" s="21" t="n">
        <v>4.06</v>
      </c>
      <c r="L206" s="21" t="n">
        <v>50</v>
      </c>
      <c r="M206" s="21" t="n">
        <v>64.88</v>
      </c>
      <c r="N206" s="19"/>
    </row>
    <row r="207" customFormat="false" ht="18" hidden="false" customHeight="true" outlineLevel="0" collapsed="false">
      <c r="B207" s="16" t="s">
        <v>499</v>
      </c>
      <c r="C207" s="17" t="s">
        <v>255</v>
      </c>
      <c r="D207" s="18" t="s">
        <v>489</v>
      </c>
      <c r="E207" s="18" t="s">
        <v>256</v>
      </c>
      <c r="F207" s="17" t="s">
        <v>257</v>
      </c>
      <c r="G207" s="18" t="s">
        <v>56</v>
      </c>
      <c r="H207" s="18" t="n">
        <v>4.13</v>
      </c>
      <c r="I207" s="18" t="n">
        <v>100</v>
      </c>
      <c r="J207" s="18" t="n">
        <v>1.0231</v>
      </c>
      <c r="K207" s="18" t="n">
        <v>4.23</v>
      </c>
      <c r="L207" s="18" t="n">
        <v>5</v>
      </c>
      <c r="M207" s="18" t="n">
        <v>11.07</v>
      </c>
      <c r="N207" s="16"/>
    </row>
    <row r="208" customFormat="false" ht="18" hidden="false" customHeight="true" outlineLevel="0" collapsed="false">
      <c r="B208" s="19" t="s">
        <v>500</v>
      </c>
      <c r="C208" s="20" t="s">
        <v>101</v>
      </c>
      <c r="D208" s="21" t="s">
        <v>501</v>
      </c>
      <c r="E208" s="21" t="s">
        <v>301</v>
      </c>
      <c r="F208" s="20" t="s">
        <v>302</v>
      </c>
      <c r="G208" s="21" t="s">
        <v>43</v>
      </c>
      <c r="H208" s="21" t="n">
        <v>3.26</v>
      </c>
      <c r="I208" s="21" t="n">
        <v>500</v>
      </c>
      <c r="J208" s="21" t="n">
        <v>0.642</v>
      </c>
      <c r="K208" s="21" t="n">
        <v>2.09</v>
      </c>
      <c r="L208" s="21" t="n">
        <v>1</v>
      </c>
      <c r="M208" s="21" t="n">
        <v>3.71</v>
      </c>
      <c r="N208" s="19"/>
    </row>
    <row r="209" customFormat="false" ht="18" hidden="false" customHeight="true" outlineLevel="0" collapsed="false">
      <c r="B209" s="16" t="s">
        <v>442</v>
      </c>
      <c r="C209" s="17" t="s">
        <v>72</v>
      </c>
      <c r="D209" s="18" t="s">
        <v>428</v>
      </c>
      <c r="E209" s="18" t="n">
        <v>0</v>
      </c>
      <c r="F209" s="16"/>
      <c r="G209" s="18"/>
      <c r="H209" s="18"/>
      <c r="I209" s="18" t="n">
        <v>8</v>
      </c>
      <c r="J209" s="18"/>
      <c r="K209" s="18"/>
      <c r="L209" s="18" t="n">
        <v>62.5</v>
      </c>
      <c r="M209" s="18" t="s">
        <v>49</v>
      </c>
      <c r="N209" s="16" t="s">
        <v>50</v>
      </c>
    </row>
    <row r="210" customFormat="false" ht="18" hidden="false" customHeight="true" outlineLevel="0" collapsed="false">
      <c r="B210" s="19" t="s">
        <v>502</v>
      </c>
      <c r="C210" s="20" t="s">
        <v>101</v>
      </c>
      <c r="D210" s="21" t="s">
        <v>503</v>
      </c>
      <c r="E210" s="21" t="s">
        <v>306</v>
      </c>
      <c r="F210" s="20" t="s">
        <v>302</v>
      </c>
      <c r="G210" s="21" t="s">
        <v>43</v>
      </c>
      <c r="H210" s="21" t="n">
        <v>3.26</v>
      </c>
      <c r="I210" s="21" t="n">
        <v>1020</v>
      </c>
      <c r="J210" s="21" t="n">
        <v>0.6624</v>
      </c>
      <c r="K210" s="21" t="n">
        <v>2.16</v>
      </c>
      <c r="L210" s="21" t="n">
        <v>0.49</v>
      </c>
      <c r="M210" s="21" t="n">
        <v>3.18</v>
      </c>
      <c r="N210" s="19"/>
    </row>
    <row r="211" customFormat="false" ht="18" hidden="false" customHeight="true" outlineLevel="0" collapsed="false">
      <c r="B211" s="16" t="s">
        <v>504</v>
      </c>
      <c r="C211" s="17" t="s">
        <v>91</v>
      </c>
      <c r="D211" s="18" t="s">
        <v>505</v>
      </c>
      <c r="E211" s="18" t="s">
        <v>349</v>
      </c>
      <c r="F211" s="17" t="s">
        <v>130</v>
      </c>
      <c r="G211" s="18" t="s">
        <v>131</v>
      </c>
      <c r="H211" s="18" t="n">
        <v>5.23</v>
      </c>
      <c r="I211" s="18" t="n">
        <v>500</v>
      </c>
      <c r="J211" s="18" t="n">
        <v>1.6825</v>
      </c>
      <c r="K211" s="18" t="n">
        <v>8.8</v>
      </c>
      <c r="L211" s="18" t="n">
        <v>1</v>
      </c>
      <c r="M211" s="18" t="n">
        <v>11.76</v>
      </c>
      <c r="N211" s="16"/>
    </row>
    <row r="212" customFormat="false" ht="18" hidden="false" customHeight="true" outlineLevel="0" collapsed="false">
      <c r="B212" s="19" t="s">
        <v>506</v>
      </c>
      <c r="C212" s="20" t="s">
        <v>77</v>
      </c>
      <c r="D212" s="21" t="s">
        <v>507</v>
      </c>
      <c r="E212" s="21" t="s">
        <v>508</v>
      </c>
      <c r="F212" s="19"/>
      <c r="G212" s="21"/>
      <c r="H212" s="21"/>
      <c r="I212" s="21" t="n">
        <v>100</v>
      </c>
      <c r="J212" s="21"/>
      <c r="K212" s="21"/>
      <c r="L212" s="21" t="n">
        <v>5</v>
      </c>
      <c r="M212" s="21" t="s">
        <v>49</v>
      </c>
      <c r="N212" s="19" t="s">
        <v>50</v>
      </c>
    </row>
    <row r="213" customFormat="false" ht="18" hidden="false" customHeight="true" outlineLevel="0" collapsed="false">
      <c r="B213" s="16" t="s">
        <v>509</v>
      </c>
      <c r="C213" s="17" t="s">
        <v>101</v>
      </c>
      <c r="D213" s="18" t="s">
        <v>507</v>
      </c>
      <c r="E213" s="18" t="s">
        <v>103</v>
      </c>
      <c r="F213" s="16" t="s">
        <v>104</v>
      </c>
      <c r="G213" s="18" t="s">
        <v>49</v>
      </c>
      <c r="H213" s="18"/>
      <c r="I213" s="18" t="n">
        <v>20000</v>
      </c>
      <c r="J213" s="18"/>
      <c r="K213" s="18"/>
      <c r="L213" s="18" t="n">
        <v>0.03</v>
      </c>
      <c r="M213" s="18" t="s">
        <v>49</v>
      </c>
      <c r="N213" s="16" t="s">
        <v>81</v>
      </c>
    </row>
    <row r="214" customFormat="false" ht="18" hidden="false" customHeight="true" outlineLevel="0" collapsed="false">
      <c r="B214" s="19" t="s">
        <v>510</v>
      </c>
      <c r="C214" s="20" t="s">
        <v>91</v>
      </c>
      <c r="D214" s="21" t="s">
        <v>507</v>
      </c>
      <c r="E214" s="21" t="s">
        <v>511</v>
      </c>
      <c r="F214" s="20" t="s">
        <v>130</v>
      </c>
      <c r="G214" s="21" t="s">
        <v>131</v>
      </c>
      <c r="H214" s="21" t="n">
        <v>5.23</v>
      </c>
      <c r="I214" s="21" t="n">
        <v>7</v>
      </c>
      <c r="J214" s="21" t="n">
        <v>1.3057</v>
      </c>
      <c r="K214" s="21" t="n">
        <v>6.83</v>
      </c>
      <c r="L214" s="21" t="n">
        <v>71.43</v>
      </c>
      <c r="M214" s="21" t="n">
        <v>93.91</v>
      </c>
      <c r="N214" s="19"/>
    </row>
    <row r="215" customFormat="false" ht="18" hidden="false" customHeight="true" outlineLevel="0" collapsed="false">
      <c r="B215" s="16" t="s">
        <v>512</v>
      </c>
      <c r="C215" s="17" t="s">
        <v>39</v>
      </c>
      <c r="D215" s="18" t="s">
        <v>513</v>
      </c>
      <c r="E215" s="18" t="s">
        <v>247</v>
      </c>
      <c r="F215" s="16" t="s">
        <v>245</v>
      </c>
      <c r="G215" s="18" t="s">
        <v>43</v>
      </c>
      <c r="H215" s="18" t="n">
        <v>3.26</v>
      </c>
      <c r="I215" s="18" t="n">
        <v>700</v>
      </c>
      <c r="J215" s="18" t="n">
        <v>1.1104</v>
      </c>
      <c r="K215" s="18" t="n">
        <v>3.62</v>
      </c>
      <c r="L215" s="18" t="n">
        <v>0.71</v>
      </c>
      <c r="M215" s="18" t="n">
        <v>5.2</v>
      </c>
      <c r="N215" s="16"/>
    </row>
    <row r="216" customFormat="false" ht="18" hidden="false" customHeight="true" outlineLevel="0" collapsed="false">
      <c r="B216" s="19" t="s">
        <v>514</v>
      </c>
      <c r="C216" s="20" t="s">
        <v>39</v>
      </c>
      <c r="D216" s="21" t="s">
        <v>513</v>
      </c>
      <c r="E216" s="21" t="s">
        <v>287</v>
      </c>
      <c r="F216" s="20" t="s">
        <v>283</v>
      </c>
      <c r="G216" s="21" t="s">
        <v>65</v>
      </c>
      <c r="H216" s="21" t="n">
        <v>4.58</v>
      </c>
      <c r="I216" s="21" t="n">
        <v>600</v>
      </c>
      <c r="J216" s="21" t="n">
        <v>0.7952</v>
      </c>
      <c r="K216" s="21" t="n">
        <v>3.64</v>
      </c>
      <c r="L216" s="21" t="n">
        <v>0.83</v>
      </c>
      <c r="M216" s="21" t="n">
        <v>5.37</v>
      </c>
      <c r="N216" s="19"/>
    </row>
    <row r="217" customFormat="false" ht="18" hidden="false" customHeight="true" outlineLevel="0" collapsed="false">
      <c r="B217" s="16" t="s">
        <v>515</v>
      </c>
      <c r="C217" s="17" t="s">
        <v>39</v>
      </c>
      <c r="D217" s="18" t="s">
        <v>513</v>
      </c>
      <c r="E217" s="18" t="s">
        <v>430</v>
      </c>
      <c r="F217" s="16" t="s">
        <v>245</v>
      </c>
      <c r="G217" s="18" t="s">
        <v>43</v>
      </c>
      <c r="H217" s="18" t="n">
        <v>3.26</v>
      </c>
      <c r="I217" s="18" t="n">
        <v>600</v>
      </c>
      <c r="J217" s="18" t="n">
        <v>0.68</v>
      </c>
      <c r="K217" s="18" t="n">
        <v>2.22</v>
      </c>
      <c r="L217" s="18" t="n">
        <v>0.83</v>
      </c>
      <c r="M217" s="18" t="n">
        <v>3.66</v>
      </c>
      <c r="N217" s="16"/>
    </row>
    <row r="218" customFormat="false" ht="18" hidden="false" customHeight="true" outlineLevel="0" collapsed="false">
      <c r="B218" s="19" t="s">
        <v>516</v>
      </c>
      <c r="C218" s="20" t="s">
        <v>91</v>
      </c>
      <c r="D218" s="21" t="s">
        <v>489</v>
      </c>
      <c r="E218" s="21" t="s">
        <v>517</v>
      </c>
      <c r="F218" s="20" t="s">
        <v>518</v>
      </c>
      <c r="G218" s="21" t="s">
        <v>65</v>
      </c>
      <c r="H218" s="21" t="n">
        <v>4.58</v>
      </c>
      <c r="I218" s="21" t="n">
        <v>2000</v>
      </c>
      <c r="J218" s="21" t="n">
        <v>0.6033</v>
      </c>
      <c r="K218" s="21" t="n">
        <v>2.76</v>
      </c>
      <c r="L218" s="21" t="n">
        <v>0.25</v>
      </c>
      <c r="M218" s="21" t="n">
        <v>3.62</v>
      </c>
      <c r="N218" s="19"/>
    </row>
    <row r="219" customFormat="false" ht="18" hidden="false" customHeight="true" outlineLevel="0" collapsed="false">
      <c r="B219" s="16" t="s">
        <v>519</v>
      </c>
      <c r="C219" s="17" t="s">
        <v>101</v>
      </c>
      <c r="D219" s="18" t="s">
        <v>503</v>
      </c>
      <c r="E219" s="18" t="s">
        <v>520</v>
      </c>
      <c r="F219" s="17" t="s">
        <v>148</v>
      </c>
      <c r="G219" s="18" t="s">
        <v>43</v>
      </c>
      <c r="H219" s="18" t="n">
        <v>3.26</v>
      </c>
      <c r="I219" s="18" t="n">
        <v>400</v>
      </c>
      <c r="J219" s="18" t="n">
        <v>0.018</v>
      </c>
      <c r="K219" s="18" t="n">
        <v>0.06</v>
      </c>
      <c r="L219" s="18" t="n">
        <v>1.25</v>
      </c>
      <c r="M219" s="18" t="n">
        <v>1.57</v>
      </c>
      <c r="N219" s="16"/>
    </row>
    <row r="220" customFormat="false" ht="18" hidden="false" customHeight="true" outlineLevel="0" collapsed="false">
      <c r="B220" s="19" t="s">
        <v>521</v>
      </c>
      <c r="C220" s="20" t="s">
        <v>137</v>
      </c>
      <c r="D220" s="21" t="s">
        <v>503</v>
      </c>
      <c r="E220" s="21" t="s">
        <v>144</v>
      </c>
      <c r="F220" s="19"/>
      <c r="G220" s="21"/>
      <c r="H220" s="21"/>
      <c r="I220" s="21" t="n">
        <v>1138</v>
      </c>
      <c r="J220" s="21"/>
      <c r="K220" s="21"/>
      <c r="L220" s="21" t="n">
        <v>0.44</v>
      </c>
      <c r="M220" s="21" t="s">
        <v>49</v>
      </c>
      <c r="N220" s="19" t="s">
        <v>50</v>
      </c>
    </row>
    <row r="221" customFormat="false" ht="18" hidden="false" customHeight="true" outlineLevel="0" collapsed="false">
      <c r="B221" s="16" t="s">
        <v>522</v>
      </c>
      <c r="C221" s="17" t="s">
        <v>137</v>
      </c>
      <c r="D221" s="18" t="s">
        <v>503</v>
      </c>
      <c r="E221" s="18" t="s">
        <v>142</v>
      </c>
      <c r="F221" s="16"/>
      <c r="G221" s="18"/>
      <c r="H221" s="18"/>
      <c r="I221" s="18" t="n">
        <v>672</v>
      </c>
      <c r="J221" s="18"/>
      <c r="K221" s="18"/>
      <c r="L221" s="18" t="n">
        <v>0.74</v>
      </c>
      <c r="M221" s="18" t="s">
        <v>49</v>
      </c>
      <c r="N221" s="16" t="s">
        <v>50</v>
      </c>
    </row>
    <row r="222" customFormat="false" ht="18" hidden="false" customHeight="true" outlineLevel="0" collapsed="false">
      <c r="B222" s="19" t="s">
        <v>523</v>
      </c>
      <c r="C222" s="20" t="s">
        <v>137</v>
      </c>
      <c r="D222" s="21" t="s">
        <v>503</v>
      </c>
      <c r="E222" s="21" t="s">
        <v>140</v>
      </c>
      <c r="F222" s="19"/>
      <c r="G222" s="21"/>
      <c r="H222" s="21"/>
      <c r="I222" s="21" t="n">
        <v>712</v>
      </c>
      <c r="J222" s="21"/>
      <c r="K222" s="21"/>
      <c r="L222" s="21" t="n">
        <v>0.7</v>
      </c>
      <c r="M222" s="21" t="s">
        <v>49</v>
      </c>
      <c r="N222" s="19" t="s">
        <v>50</v>
      </c>
    </row>
    <row r="223" customFormat="false" ht="18" hidden="false" customHeight="true" outlineLevel="0" collapsed="false">
      <c r="B223" s="16" t="s">
        <v>524</v>
      </c>
      <c r="C223" s="17" t="s">
        <v>137</v>
      </c>
      <c r="D223" s="18" t="s">
        <v>503</v>
      </c>
      <c r="E223" s="18" t="s">
        <v>138</v>
      </c>
      <c r="F223" s="16"/>
      <c r="G223" s="18"/>
      <c r="H223" s="18"/>
      <c r="I223" s="18" t="n">
        <v>2276</v>
      </c>
      <c r="J223" s="18"/>
      <c r="K223" s="18"/>
      <c r="L223" s="18" t="n">
        <v>0.22</v>
      </c>
      <c r="M223" s="18" t="s">
        <v>49</v>
      </c>
      <c r="N223" s="16" t="s">
        <v>50</v>
      </c>
    </row>
    <row r="224" customFormat="false" ht="18" hidden="false" customHeight="true" outlineLevel="0" collapsed="false">
      <c r="B224" s="19" t="s">
        <v>525</v>
      </c>
      <c r="C224" s="20" t="s">
        <v>137</v>
      </c>
      <c r="D224" s="21" t="s">
        <v>503</v>
      </c>
      <c r="E224" s="21" t="s">
        <v>162</v>
      </c>
      <c r="F224" s="19"/>
      <c r="G224" s="21"/>
      <c r="H224" s="21"/>
      <c r="I224" s="21" t="n">
        <v>335</v>
      </c>
      <c r="J224" s="21"/>
      <c r="K224" s="21"/>
      <c r="L224" s="21" t="n">
        <v>1.49</v>
      </c>
      <c r="M224" s="21" t="s">
        <v>49</v>
      </c>
      <c r="N224" s="19" t="s">
        <v>50</v>
      </c>
    </row>
    <row r="225" customFormat="false" ht="18" hidden="false" customHeight="true" outlineLevel="0" collapsed="false">
      <c r="B225" s="16" t="s">
        <v>526</v>
      </c>
      <c r="C225" s="17" t="s">
        <v>137</v>
      </c>
      <c r="D225" s="18" t="s">
        <v>503</v>
      </c>
      <c r="E225" s="18" t="s">
        <v>336</v>
      </c>
      <c r="F225" s="16"/>
      <c r="G225" s="18"/>
      <c r="H225" s="18"/>
      <c r="I225" s="18" t="n">
        <v>2218</v>
      </c>
      <c r="J225" s="18"/>
      <c r="K225" s="18"/>
      <c r="L225" s="18" t="n">
        <v>0.23</v>
      </c>
      <c r="M225" s="18" t="s">
        <v>49</v>
      </c>
      <c r="N225" s="16" t="s">
        <v>50</v>
      </c>
    </row>
    <row r="226" customFormat="false" ht="18" hidden="false" customHeight="true" outlineLevel="0" collapsed="false">
      <c r="B226" s="19" t="s">
        <v>527</v>
      </c>
      <c r="C226" s="20" t="s">
        <v>91</v>
      </c>
      <c r="D226" s="21" t="s">
        <v>503</v>
      </c>
      <c r="E226" s="21" t="s">
        <v>528</v>
      </c>
      <c r="F226" s="20" t="s">
        <v>529</v>
      </c>
      <c r="G226" s="21" t="s">
        <v>131</v>
      </c>
      <c r="H226" s="21" t="n">
        <v>5.23</v>
      </c>
      <c r="I226" s="21" t="n">
        <v>10</v>
      </c>
      <c r="J226" s="21" t="n">
        <v>2.2469</v>
      </c>
      <c r="K226" s="21" t="n">
        <v>11.75</v>
      </c>
      <c r="L226" s="21" t="n">
        <v>50</v>
      </c>
      <c r="M226" s="21" t="n">
        <v>74.1</v>
      </c>
      <c r="N226" s="19"/>
    </row>
    <row r="227" customFormat="false" ht="18" hidden="false" customHeight="true" outlineLevel="0" collapsed="false">
      <c r="B227" s="16" t="s">
        <v>530</v>
      </c>
      <c r="C227" s="17" t="s">
        <v>39</v>
      </c>
      <c r="D227" s="18" t="s">
        <v>503</v>
      </c>
      <c r="E227" s="18" t="s">
        <v>531</v>
      </c>
      <c r="F227" s="17" t="s">
        <v>532</v>
      </c>
      <c r="G227" s="18" t="s">
        <v>131</v>
      </c>
      <c r="H227" s="18" t="n">
        <v>5.23</v>
      </c>
      <c r="I227" s="18" t="n">
        <v>100</v>
      </c>
      <c r="J227" s="18" t="n">
        <v>2.8179</v>
      </c>
      <c r="K227" s="18" t="n">
        <v>14.74</v>
      </c>
      <c r="L227" s="18" t="n">
        <v>5</v>
      </c>
      <c r="M227" s="18" t="n">
        <v>23.69</v>
      </c>
      <c r="N227" s="16"/>
    </row>
    <row r="228" customFormat="false" ht="18" hidden="false" customHeight="true" outlineLevel="0" collapsed="false">
      <c r="B228" s="19" t="s">
        <v>533</v>
      </c>
      <c r="C228" s="20" t="s">
        <v>39</v>
      </c>
      <c r="D228" s="21" t="s">
        <v>503</v>
      </c>
      <c r="E228" s="21" t="s">
        <v>357</v>
      </c>
      <c r="F228" s="19" t="s">
        <v>245</v>
      </c>
      <c r="G228" s="21" t="s">
        <v>43</v>
      </c>
      <c r="H228" s="21" t="n">
        <v>3.26</v>
      </c>
      <c r="I228" s="21" t="n">
        <v>600</v>
      </c>
      <c r="J228" s="21" t="n">
        <v>0.9196</v>
      </c>
      <c r="K228" s="21" t="n">
        <v>3</v>
      </c>
      <c r="L228" s="21" t="n">
        <v>0.83</v>
      </c>
      <c r="M228" s="21" t="n">
        <v>4.6</v>
      </c>
      <c r="N228" s="19"/>
    </row>
    <row r="229" customFormat="false" ht="18" hidden="false" customHeight="true" outlineLevel="0" collapsed="false">
      <c r="B229" s="16" t="s">
        <v>534</v>
      </c>
      <c r="C229" s="17" t="s">
        <v>39</v>
      </c>
      <c r="D229" s="18" t="s">
        <v>503</v>
      </c>
      <c r="E229" s="18" t="s">
        <v>282</v>
      </c>
      <c r="F229" s="17" t="s">
        <v>283</v>
      </c>
      <c r="G229" s="18" t="s">
        <v>65</v>
      </c>
      <c r="H229" s="18" t="n">
        <v>4.58</v>
      </c>
      <c r="I229" s="18" t="n">
        <v>600</v>
      </c>
      <c r="J229" s="18" t="n">
        <v>0.5892</v>
      </c>
      <c r="K229" s="18" t="n">
        <v>2.7</v>
      </c>
      <c r="L229" s="18" t="n">
        <v>0.83</v>
      </c>
      <c r="M229" s="18" t="n">
        <v>4.24</v>
      </c>
      <c r="N229" s="16"/>
    </row>
    <row r="230" customFormat="false" ht="18" hidden="false" customHeight="true" outlineLevel="0" collapsed="false">
      <c r="B230" s="19" t="s">
        <v>535</v>
      </c>
      <c r="C230" s="20" t="s">
        <v>101</v>
      </c>
      <c r="D230" s="21" t="s">
        <v>536</v>
      </c>
      <c r="E230" s="21" t="s">
        <v>107</v>
      </c>
      <c r="F230" s="20" t="s">
        <v>108</v>
      </c>
      <c r="G230" s="21" t="s">
        <v>49</v>
      </c>
      <c r="H230" s="21"/>
      <c r="I230" s="21" t="n">
        <v>2300</v>
      </c>
      <c r="J230" s="21" t="n">
        <v>0.4813</v>
      </c>
      <c r="K230" s="21"/>
      <c r="L230" s="21" t="n">
        <v>0.22</v>
      </c>
      <c r="M230" s="21" t="s">
        <v>49</v>
      </c>
      <c r="N230" s="19" t="s">
        <v>81</v>
      </c>
    </row>
    <row r="231" customFormat="false" ht="18" hidden="false" customHeight="true" outlineLevel="0" collapsed="false">
      <c r="B231" s="16" t="s">
        <v>537</v>
      </c>
      <c r="C231" s="17" t="s">
        <v>101</v>
      </c>
      <c r="D231" s="18" t="s">
        <v>536</v>
      </c>
      <c r="E231" s="18" t="s">
        <v>110</v>
      </c>
      <c r="F231" s="17" t="s">
        <v>111</v>
      </c>
      <c r="G231" s="18" t="s">
        <v>49</v>
      </c>
      <c r="H231" s="18"/>
      <c r="I231" s="18" t="n">
        <v>3400</v>
      </c>
      <c r="J231" s="18" t="n">
        <v>0.3773</v>
      </c>
      <c r="K231" s="18"/>
      <c r="L231" s="18" t="n">
        <v>0.15</v>
      </c>
      <c r="M231" s="18" t="s">
        <v>49</v>
      </c>
      <c r="N231" s="16" t="s">
        <v>81</v>
      </c>
    </row>
    <row r="232" customFormat="false" ht="18" hidden="false" customHeight="true" outlineLevel="0" collapsed="false">
      <c r="B232" s="19" t="s">
        <v>538</v>
      </c>
      <c r="C232" s="20" t="s">
        <v>137</v>
      </c>
      <c r="D232" s="21" t="s">
        <v>539</v>
      </c>
      <c r="E232" s="21" t="s">
        <v>162</v>
      </c>
      <c r="F232" s="19"/>
      <c r="G232" s="21"/>
      <c r="H232" s="21"/>
      <c r="I232" s="21" t="n">
        <v>5000</v>
      </c>
      <c r="J232" s="21"/>
      <c r="K232" s="21"/>
      <c r="L232" s="21" t="n">
        <v>0.1</v>
      </c>
      <c r="M232" s="21" t="s">
        <v>49</v>
      </c>
      <c r="N232" s="19" t="s">
        <v>50</v>
      </c>
    </row>
    <row r="233" customFormat="false" ht="18" hidden="false" customHeight="true" outlineLevel="0" collapsed="false">
      <c r="B233" s="16" t="s">
        <v>540</v>
      </c>
      <c r="C233" s="17" t="s">
        <v>137</v>
      </c>
      <c r="D233" s="18" t="s">
        <v>539</v>
      </c>
      <c r="E233" s="18" t="s">
        <v>318</v>
      </c>
      <c r="F233" s="16"/>
      <c r="G233" s="18"/>
      <c r="H233" s="18"/>
      <c r="I233" s="18" t="n">
        <v>2000</v>
      </c>
      <c r="J233" s="18"/>
      <c r="K233" s="18"/>
      <c r="L233" s="18" t="n">
        <v>0.25</v>
      </c>
      <c r="M233" s="18" t="s">
        <v>49</v>
      </c>
      <c r="N233" s="16" t="s">
        <v>50</v>
      </c>
    </row>
    <row r="234" customFormat="false" ht="18" hidden="false" customHeight="true" outlineLevel="0" collapsed="false">
      <c r="B234" s="19" t="s">
        <v>541</v>
      </c>
      <c r="C234" s="20" t="s">
        <v>137</v>
      </c>
      <c r="D234" s="21" t="s">
        <v>539</v>
      </c>
      <c r="E234" s="21" t="s">
        <v>138</v>
      </c>
      <c r="F234" s="19"/>
      <c r="G234" s="21"/>
      <c r="H234" s="21"/>
      <c r="I234" s="21" t="n">
        <v>5000</v>
      </c>
      <c r="J234" s="21"/>
      <c r="K234" s="21"/>
      <c r="L234" s="21" t="n">
        <v>0.1</v>
      </c>
      <c r="M234" s="21" t="s">
        <v>49</v>
      </c>
      <c r="N234" s="19" t="s">
        <v>50</v>
      </c>
    </row>
    <row r="235" customFormat="false" ht="18" hidden="false" customHeight="true" outlineLevel="0" collapsed="false">
      <c r="B235" s="16" t="s">
        <v>542</v>
      </c>
      <c r="C235" s="17" t="s">
        <v>137</v>
      </c>
      <c r="D235" s="18" t="s">
        <v>539</v>
      </c>
      <c r="E235" s="18" t="s">
        <v>140</v>
      </c>
      <c r="F235" s="16"/>
      <c r="G235" s="18"/>
      <c r="H235" s="18"/>
      <c r="I235" s="18" t="n">
        <v>8000</v>
      </c>
      <c r="J235" s="18"/>
      <c r="K235" s="18"/>
      <c r="L235" s="18" t="n">
        <v>0.06</v>
      </c>
      <c r="M235" s="18" t="s">
        <v>49</v>
      </c>
      <c r="N235" s="16" t="s">
        <v>50</v>
      </c>
    </row>
    <row r="236" customFormat="false" ht="18" hidden="false" customHeight="true" outlineLevel="0" collapsed="false">
      <c r="B236" s="19" t="s">
        <v>543</v>
      </c>
      <c r="C236" s="20" t="s">
        <v>137</v>
      </c>
      <c r="D236" s="21" t="s">
        <v>539</v>
      </c>
      <c r="E236" s="21" t="s">
        <v>142</v>
      </c>
      <c r="F236" s="19"/>
      <c r="G236" s="21"/>
      <c r="H236" s="21"/>
      <c r="I236" s="21" t="n">
        <v>5000</v>
      </c>
      <c r="J236" s="21"/>
      <c r="K236" s="21"/>
      <c r="L236" s="21" t="n">
        <v>0.1</v>
      </c>
      <c r="M236" s="21" t="s">
        <v>49</v>
      </c>
      <c r="N236" s="19" t="s">
        <v>50</v>
      </c>
    </row>
    <row r="237" customFormat="false" ht="18" hidden="false" customHeight="true" outlineLevel="0" collapsed="false">
      <c r="B237" s="16" t="s">
        <v>544</v>
      </c>
      <c r="C237" s="17" t="s">
        <v>137</v>
      </c>
      <c r="D237" s="18" t="s">
        <v>539</v>
      </c>
      <c r="E237" s="18" t="s">
        <v>144</v>
      </c>
      <c r="F237" s="16"/>
      <c r="G237" s="18"/>
      <c r="H237" s="18"/>
      <c r="I237" s="18" t="n">
        <v>5000</v>
      </c>
      <c r="J237" s="18"/>
      <c r="K237" s="18"/>
      <c r="L237" s="18" t="n">
        <v>0.1</v>
      </c>
      <c r="M237" s="18" t="s">
        <v>49</v>
      </c>
      <c r="N237" s="16" t="s">
        <v>50</v>
      </c>
    </row>
    <row r="238" customFormat="false" ht="18" hidden="false" customHeight="true" outlineLevel="0" collapsed="false">
      <c r="B238" s="19" t="s">
        <v>545</v>
      </c>
      <c r="C238" s="20" t="s">
        <v>52</v>
      </c>
      <c r="D238" s="21" t="s">
        <v>546</v>
      </c>
      <c r="E238" s="21" t="s">
        <v>327</v>
      </c>
      <c r="F238" s="19"/>
      <c r="G238" s="21"/>
      <c r="H238" s="21"/>
      <c r="I238" s="21" t="n">
        <v>200</v>
      </c>
      <c r="J238" s="21"/>
      <c r="K238" s="21"/>
      <c r="L238" s="21" t="n">
        <v>2.5</v>
      </c>
      <c r="M238" s="21" t="s">
        <v>49</v>
      </c>
      <c r="N238" s="19" t="s">
        <v>50</v>
      </c>
    </row>
    <row r="239" customFormat="false" ht="18" hidden="false" customHeight="true" outlineLevel="0" collapsed="false">
      <c r="B239" s="16" t="s">
        <v>547</v>
      </c>
      <c r="C239" s="17" t="s">
        <v>52</v>
      </c>
      <c r="D239" s="18" t="s">
        <v>546</v>
      </c>
      <c r="E239" s="18" t="s">
        <v>193</v>
      </c>
      <c r="F239" s="16"/>
      <c r="G239" s="18"/>
      <c r="H239" s="18"/>
      <c r="I239" s="18" t="n">
        <v>200</v>
      </c>
      <c r="J239" s="18"/>
      <c r="K239" s="18"/>
      <c r="L239" s="18" t="n">
        <v>2.5</v>
      </c>
      <c r="M239" s="18" t="s">
        <v>49</v>
      </c>
      <c r="N239" s="16" t="s">
        <v>50</v>
      </c>
    </row>
    <row r="240" customFormat="false" ht="18" hidden="false" customHeight="true" outlineLevel="0" collapsed="false">
      <c r="B240" s="19" t="s">
        <v>548</v>
      </c>
      <c r="C240" s="20" t="s">
        <v>52</v>
      </c>
      <c r="D240" s="21" t="s">
        <v>546</v>
      </c>
      <c r="E240" s="21" t="s">
        <v>195</v>
      </c>
      <c r="F240" s="19"/>
      <c r="G240" s="21"/>
      <c r="H240" s="21"/>
      <c r="I240" s="21" t="n">
        <v>300</v>
      </c>
      <c r="J240" s="21"/>
      <c r="K240" s="21"/>
      <c r="L240" s="21" t="n">
        <v>1.67</v>
      </c>
      <c r="M240" s="21" t="s">
        <v>49</v>
      </c>
      <c r="N240" s="19" t="s">
        <v>50</v>
      </c>
    </row>
    <row r="241" customFormat="false" ht="18" hidden="false" customHeight="true" outlineLevel="0" collapsed="false">
      <c r="B241" s="16" t="s">
        <v>549</v>
      </c>
      <c r="C241" s="17" t="s">
        <v>52</v>
      </c>
      <c r="D241" s="18" t="s">
        <v>546</v>
      </c>
      <c r="E241" s="18" t="s">
        <v>197</v>
      </c>
      <c r="F241" s="16"/>
      <c r="G241" s="18"/>
      <c r="H241" s="18"/>
      <c r="I241" s="18" t="n">
        <v>300</v>
      </c>
      <c r="J241" s="18"/>
      <c r="K241" s="18"/>
      <c r="L241" s="18" t="n">
        <v>1.67</v>
      </c>
      <c r="M241" s="18" t="s">
        <v>49</v>
      </c>
      <c r="N241" s="16" t="s">
        <v>50</v>
      </c>
    </row>
    <row r="242" customFormat="false" ht="18" hidden="false" customHeight="true" outlineLevel="0" collapsed="false">
      <c r="B242" s="19" t="s">
        <v>488</v>
      </c>
      <c r="C242" s="20" t="s">
        <v>91</v>
      </c>
      <c r="D242" s="21" t="s">
        <v>489</v>
      </c>
      <c r="E242" s="21" t="s">
        <v>129</v>
      </c>
      <c r="F242" s="20" t="s">
        <v>130</v>
      </c>
      <c r="G242" s="21" t="s">
        <v>131</v>
      </c>
      <c r="H242" s="21" t="n">
        <v>5.23</v>
      </c>
      <c r="I242" s="21" t="n">
        <v>1220</v>
      </c>
      <c r="J242" s="21" t="n">
        <v>1.0975</v>
      </c>
      <c r="K242" s="21" t="n">
        <v>5.74</v>
      </c>
      <c r="L242" s="21" t="n">
        <v>0.41</v>
      </c>
      <c r="M242" s="21" t="n">
        <v>7.38</v>
      </c>
      <c r="N242" s="19"/>
    </row>
    <row r="243" customFormat="false" ht="18" hidden="false" customHeight="true" outlineLevel="0" collapsed="false">
      <c r="B243" s="16" t="s">
        <v>550</v>
      </c>
      <c r="C243" s="17" t="s">
        <v>231</v>
      </c>
      <c r="D243" s="18" t="s">
        <v>546</v>
      </c>
      <c r="E243" s="18" t="s">
        <v>551</v>
      </c>
      <c r="F243" s="16" t="s">
        <v>552</v>
      </c>
      <c r="G243" s="18" t="s">
        <v>43</v>
      </c>
      <c r="H243" s="18" t="n">
        <v>3.26</v>
      </c>
      <c r="I243" s="18" t="n">
        <v>870</v>
      </c>
      <c r="J243" s="18" t="n">
        <v>0.9762</v>
      </c>
      <c r="K243" s="18" t="n">
        <v>3.18</v>
      </c>
      <c r="L243" s="18" t="n">
        <v>0.57</v>
      </c>
      <c r="M243" s="18" t="n">
        <v>4.51</v>
      </c>
      <c r="N243" s="16"/>
    </row>
    <row r="244" customFormat="false" ht="18" hidden="false" customHeight="true" outlineLevel="0" collapsed="false">
      <c r="B244" s="19" t="s">
        <v>553</v>
      </c>
      <c r="C244" s="20" t="s">
        <v>231</v>
      </c>
      <c r="D244" s="21" t="s">
        <v>546</v>
      </c>
      <c r="E244" s="21" t="s">
        <v>551</v>
      </c>
      <c r="F244" s="19" t="s">
        <v>552</v>
      </c>
      <c r="G244" s="21" t="s">
        <v>43</v>
      </c>
      <c r="H244" s="21" t="n">
        <v>3.26</v>
      </c>
      <c r="I244" s="21" t="n">
        <v>950</v>
      </c>
      <c r="J244" s="21" t="n">
        <v>0.9762</v>
      </c>
      <c r="K244" s="21" t="n">
        <v>3.18</v>
      </c>
      <c r="L244" s="21" t="n">
        <v>0.53</v>
      </c>
      <c r="M244" s="21" t="n">
        <v>4.45</v>
      </c>
      <c r="N244" s="19"/>
    </row>
    <row r="245" customFormat="false" ht="18" hidden="false" customHeight="true" outlineLevel="0" collapsed="false">
      <c r="B245" s="16" t="s">
        <v>554</v>
      </c>
      <c r="C245" s="17" t="s">
        <v>52</v>
      </c>
      <c r="D245" s="18" t="s">
        <v>555</v>
      </c>
      <c r="E245" s="18" t="s">
        <v>202</v>
      </c>
      <c r="F245" s="17" t="s">
        <v>55</v>
      </c>
      <c r="G245" s="18" t="s">
        <v>56</v>
      </c>
      <c r="H245" s="18" t="n">
        <v>4.13</v>
      </c>
      <c r="I245" s="18" t="n">
        <v>1000</v>
      </c>
      <c r="J245" s="18" t="n">
        <v>0.7663</v>
      </c>
      <c r="K245" s="18" t="n">
        <v>3.16</v>
      </c>
      <c r="L245" s="18" t="n">
        <v>0.5</v>
      </c>
      <c r="M245" s="18" t="n">
        <v>4.4</v>
      </c>
      <c r="N245" s="16"/>
    </row>
    <row r="246" customFormat="false" ht="18" hidden="false" customHeight="true" outlineLevel="0" collapsed="false">
      <c r="B246" s="19" t="s">
        <v>556</v>
      </c>
      <c r="C246" s="20" t="s">
        <v>185</v>
      </c>
      <c r="D246" s="21" t="s">
        <v>557</v>
      </c>
      <c r="E246" s="21" t="s">
        <v>186</v>
      </c>
      <c r="F246" s="19" t="s">
        <v>187</v>
      </c>
      <c r="G246" s="21" t="s">
        <v>43</v>
      </c>
      <c r="H246" s="21" t="n">
        <v>3.26</v>
      </c>
      <c r="I246" s="21" t="n">
        <v>6000</v>
      </c>
      <c r="J246" s="21" t="n">
        <v>1.3125</v>
      </c>
      <c r="K246" s="21" t="n">
        <v>4.28</v>
      </c>
      <c r="L246" s="21" t="n">
        <v>0.08</v>
      </c>
      <c r="M246" s="21" t="n">
        <v>5.23</v>
      </c>
      <c r="N246" s="19"/>
    </row>
    <row r="247" customFormat="false" ht="18" hidden="false" customHeight="true" outlineLevel="0" collapsed="false">
      <c r="B247" s="16" t="s">
        <v>558</v>
      </c>
      <c r="C247" s="17" t="s">
        <v>432</v>
      </c>
      <c r="D247" s="18" t="s">
        <v>513</v>
      </c>
      <c r="E247" s="18" t="s">
        <v>433</v>
      </c>
      <c r="F247" s="17" t="s">
        <v>434</v>
      </c>
      <c r="G247" s="18" t="s">
        <v>56</v>
      </c>
      <c r="H247" s="18" t="n">
        <v>4.13</v>
      </c>
      <c r="I247" s="18" t="n">
        <v>240</v>
      </c>
      <c r="J247" s="18" t="n">
        <v>0.9957</v>
      </c>
      <c r="K247" s="18" t="n">
        <v>4.11</v>
      </c>
      <c r="L247" s="18" t="n">
        <v>2.08</v>
      </c>
      <c r="M247" s="18" t="n">
        <v>7.43</v>
      </c>
      <c r="N247" s="16"/>
    </row>
    <row r="248" customFormat="false" ht="18" hidden="false" customHeight="true" outlineLevel="0" collapsed="false">
      <c r="B248" s="19" t="s">
        <v>537</v>
      </c>
      <c r="C248" s="20" t="s">
        <v>101</v>
      </c>
      <c r="D248" s="21" t="s">
        <v>536</v>
      </c>
      <c r="E248" s="21" t="s">
        <v>110</v>
      </c>
      <c r="F248" s="20" t="s">
        <v>111</v>
      </c>
      <c r="G248" s="21" t="s">
        <v>49</v>
      </c>
      <c r="H248" s="21"/>
      <c r="I248" s="21" t="n">
        <v>2300</v>
      </c>
      <c r="J248" s="21" t="n">
        <v>0.3773</v>
      </c>
      <c r="K248" s="21"/>
      <c r="L248" s="21" t="n">
        <v>0.22</v>
      </c>
      <c r="M248" s="21" t="s">
        <v>49</v>
      </c>
      <c r="N248" s="19" t="s">
        <v>81</v>
      </c>
    </row>
    <row r="249" customFormat="false" ht="18" hidden="false" customHeight="true" outlineLevel="0" collapsed="false">
      <c r="B249" s="16" t="s">
        <v>488</v>
      </c>
      <c r="C249" s="17" t="s">
        <v>91</v>
      </c>
      <c r="D249" s="18" t="s">
        <v>489</v>
      </c>
      <c r="E249" s="18" t="s">
        <v>129</v>
      </c>
      <c r="F249" s="17" t="s">
        <v>130</v>
      </c>
      <c r="G249" s="18" t="s">
        <v>131</v>
      </c>
      <c r="H249" s="18" t="n">
        <v>5.23</v>
      </c>
      <c r="I249" s="18" t="n">
        <v>1280</v>
      </c>
      <c r="J249" s="18" t="n">
        <v>1.0975</v>
      </c>
      <c r="K249" s="18" t="n">
        <v>5.74</v>
      </c>
      <c r="L249" s="18" t="n">
        <v>0.39</v>
      </c>
      <c r="M249" s="18" t="n">
        <v>7.36</v>
      </c>
      <c r="N249" s="16"/>
    </row>
    <row r="250" customFormat="false" ht="18" hidden="false" customHeight="true" outlineLevel="0" collapsed="false">
      <c r="B250" s="19" t="s">
        <v>559</v>
      </c>
      <c r="C250" s="20" t="s">
        <v>312</v>
      </c>
      <c r="D250" s="21" t="s">
        <v>560</v>
      </c>
      <c r="E250" s="21" t="s">
        <v>561</v>
      </c>
      <c r="F250" s="20" t="s">
        <v>377</v>
      </c>
      <c r="G250" s="21" t="s">
        <v>43</v>
      </c>
      <c r="H250" s="21" t="n">
        <v>3.26</v>
      </c>
      <c r="I250" s="21" t="n">
        <v>175</v>
      </c>
      <c r="J250" s="21" t="n">
        <v>0.7549</v>
      </c>
      <c r="K250" s="21" t="n">
        <v>2.46</v>
      </c>
      <c r="L250" s="21" t="n">
        <v>2.86</v>
      </c>
      <c r="M250" s="21" t="n">
        <v>6.38</v>
      </c>
      <c r="N250" s="19"/>
    </row>
    <row r="251" customFormat="false" ht="18" hidden="false" customHeight="true" outlineLevel="0" collapsed="false">
      <c r="B251" s="16" t="s">
        <v>562</v>
      </c>
      <c r="C251" s="17" t="s">
        <v>312</v>
      </c>
      <c r="D251" s="18" t="s">
        <v>560</v>
      </c>
      <c r="E251" s="18" t="s">
        <v>563</v>
      </c>
      <c r="F251" s="16" t="s">
        <v>564</v>
      </c>
      <c r="G251" s="18" t="s">
        <v>49</v>
      </c>
      <c r="H251" s="18"/>
      <c r="I251" s="18" t="n">
        <v>350</v>
      </c>
      <c r="J251" s="18" t="n">
        <v>0.0949</v>
      </c>
      <c r="K251" s="18"/>
      <c r="L251" s="18" t="n">
        <v>1.43</v>
      </c>
      <c r="M251" s="18" t="s">
        <v>49</v>
      </c>
      <c r="N251" s="16" t="s">
        <v>81</v>
      </c>
    </row>
    <row r="252" customFormat="false" ht="18" hidden="false" customHeight="true" outlineLevel="0" collapsed="false">
      <c r="B252" s="19" t="s">
        <v>565</v>
      </c>
      <c r="C252" s="20" t="s">
        <v>312</v>
      </c>
      <c r="D252" s="21" t="s">
        <v>560</v>
      </c>
      <c r="E252" s="21" t="s">
        <v>566</v>
      </c>
      <c r="F252" s="20" t="s">
        <v>190</v>
      </c>
      <c r="G252" s="21" t="s">
        <v>43</v>
      </c>
      <c r="H252" s="21" t="n">
        <v>3.26</v>
      </c>
      <c r="I252" s="21" t="n">
        <v>1060</v>
      </c>
      <c r="J252" s="21" t="n">
        <v>0.142</v>
      </c>
      <c r="K252" s="21" t="n">
        <v>0.46</v>
      </c>
      <c r="L252" s="21" t="n">
        <v>0.47</v>
      </c>
      <c r="M252" s="21" t="n">
        <v>1.12</v>
      </c>
      <c r="N252" s="19"/>
    </row>
    <row r="253" customFormat="false" ht="18" hidden="false" customHeight="true" outlineLevel="0" collapsed="false">
      <c r="B253" s="16" t="s">
        <v>567</v>
      </c>
      <c r="C253" s="17" t="s">
        <v>312</v>
      </c>
      <c r="D253" s="18" t="s">
        <v>560</v>
      </c>
      <c r="E253" s="18" t="s">
        <v>568</v>
      </c>
      <c r="F253" s="17" t="s">
        <v>190</v>
      </c>
      <c r="G253" s="18" t="s">
        <v>43</v>
      </c>
      <c r="H253" s="18" t="n">
        <v>3.26</v>
      </c>
      <c r="I253" s="18" t="n">
        <v>2060</v>
      </c>
      <c r="J253" s="18" t="n">
        <v>0.1447</v>
      </c>
      <c r="K253" s="18" t="n">
        <v>0.47</v>
      </c>
      <c r="L253" s="18" t="n">
        <v>0.24</v>
      </c>
      <c r="M253" s="18" t="n">
        <v>0.86</v>
      </c>
      <c r="N253" s="16"/>
    </row>
    <row r="254" customFormat="false" ht="18" hidden="false" customHeight="true" outlineLevel="0" collapsed="false">
      <c r="B254" s="19" t="s">
        <v>569</v>
      </c>
      <c r="C254" s="20" t="s">
        <v>312</v>
      </c>
      <c r="D254" s="21" t="s">
        <v>560</v>
      </c>
      <c r="E254" s="21" t="s">
        <v>570</v>
      </c>
      <c r="F254" s="20" t="s">
        <v>190</v>
      </c>
      <c r="G254" s="21" t="s">
        <v>43</v>
      </c>
      <c r="H254" s="21" t="n">
        <v>3.26</v>
      </c>
      <c r="I254" s="21" t="n">
        <v>840</v>
      </c>
      <c r="J254" s="21" t="n">
        <v>0.1613</v>
      </c>
      <c r="K254" s="21" t="n">
        <v>0.53</v>
      </c>
      <c r="L254" s="21" t="n">
        <v>0.6</v>
      </c>
      <c r="M254" s="21" t="n">
        <v>1.35</v>
      </c>
      <c r="N254" s="19"/>
    </row>
    <row r="255" customFormat="false" ht="18" hidden="false" customHeight="true" outlineLevel="0" collapsed="false">
      <c r="B255" s="16" t="s">
        <v>571</v>
      </c>
      <c r="C255" s="17" t="s">
        <v>312</v>
      </c>
      <c r="D255" s="18" t="s">
        <v>560</v>
      </c>
      <c r="E255" s="18" t="s">
        <v>572</v>
      </c>
      <c r="F255" s="17" t="s">
        <v>377</v>
      </c>
      <c r="G255" s="18" t="s">
        <v>43</v>
      </c>
      <c r="H255" s="18" t="n">
        <v>3.26</v>
      </c>
      <c r="I255" s="18" t="n">
        <v>530</v>
      </c>
      <c r="J255" s="18" t="n">
        <v>0.9729</v>
      </c>
      <c r="K255" s="18" t="n">
        <v>3.17</v>
      </c>
      <c r="L255" s="18" t="n">
        <v>0.94</v>
      </c>
      <c r="M255" s="18" t="n">
        <v>4.94</v>
      </c>
      <c r="N255" s="16"/>
    </row>
    <row r="256" customFormat="false" ht="18" hidden="false" customHeight="true" outlineLevel="0" collapsed="false">
      <c r="B256" s="19" t="s">
        <v>573</v>
      </c>
      <c r="C256" s="20" t="s">
        <v>312</v>
      </c>
      <c r="D256" s="21" t="s">
        <v>560</v>
      </c>
      <c r="E256" s="21" t="s">
        <v>574</v>
      </c>
      <c r="F256" s="20" t="s">
        <v>377</v>
      </c>
      <c r="G256" s="21" t="s">
        <v>43</v>
      </c>
      <c r="H256" s="21" t="n">
        <v>3.26</v>
      </c>
      <c r="I256" s="21" t="n">
        <v>1030</v>
      </c>
      <c r="J256" s="21" t="n">
        <v>0.8711</v>
      </c>
      <c r="K256" s="21" t="n">
        <v>2.84</v>
      </c>
      <c r="L256" s="21" t="n">
        <v>0.49</v>
      </c>
      <c r="M256" s="21" t="n">
        <v>3.99</v>
      </c>
      <c r="N256" s="19"/>
    </row>
    <row r="257" customFormat="false" ht="18" hidden="false" customHeight="true" outlineLevel="0" collapsed="false">
      <c r="B257" s="16" t="s">
        <v>575</v>
      </c>
      <c r="C257" s="17" t="s">
        <v>312</v>
      </c>
      <c r="D257" s="18" t="s">
        <v>560</v>
      </c>
      <c r="E257" s="18" t="s">
        <v>576</v>
      </c>
      <c r="F257" s="17" t="s">
        <v>314</v>
      </c>
      <c r="G257" s="18" t="s">
        <v>65</v>
      </c>
      <c r="H257" s="18" t="n">
        <v>4.58</v>
      </c>
      <c r="I257" s="18" t="n">
        <v>420</v>
      </c>
      <c r="J257" s="18" t="n">
        <v>1.1642</v>
      </c>
      <c r="K257" s="18" t="n">
        <v>5.33</v>
      </c>
      <c r="L257" s="18" t="n">
        <v>1.19</v>
      </c>
      <c r="M257" s="18" t="n">
        <v>7.83</v>
      </c>
      <c r="N257" s="16"/>
    </row>
    <row r="258" customFormat="false" ht="18" hidden="false" customHeight="true" outlineLevel="0" collapsed="false">
      <c r="B258" s="19" t="s">
        <v>577</v>
      </c>
      <c r="C258" s="20" t="s">
        <v>72</v>
      </c>
      <c r="D258" s="21" t="s">
        <v>578</v>
      </c>
      <c r="E258" s="21" t="s">
        <v>74</v>
      </c>
      <c r="F258" s="20" t="s">
        <v>75</v>
      </c>
      <c r="G258" s="21" t="s">
        <v>43</v>
      </c>
      <c r="H258" s="21" t="n">
        <v>3.26</v>
      </c>
      <c r="I258" s="21" t="n">
        <v>3000</v>
      </c>
      <c r="J258" s="21" t="n">
        <v>0.231</v>
      </c>
      <c r="K258" s="21" t="n">
        <v>0.75</v>
      </c>
      <c r="L258" s="21" t="n">
        <v>0.17</v>
      </c>
      <c r="M258" s="21" t="n">
        <v>1.1</v>
      </c>
      <c r="N258" s="19"/>
    </row>
    <row r="259" customFormat="false" ht="18" hidden="false" customHeight="true" outlineLevel="0" collapsed="false">
      <c r="B259" s="16" t="s">
        <v>579</v>
      </c>
      <c r="C259" s="17" t="s">
        <v>312</v>
      </c>
      <c r="D259" s="18" t="s">
        <v>560</v>
      </c>
      <c r="E259" s="18" t="s">
        <v>316</v>
      </c>
      <c r="F259" s="17" t="s">
        <v>190</v>
      </c>
      <c r="G259" s="18" t="s">
        <v>43</v>
      </c>
      <c r="H259" s="18" t="n">
        <v>3.26</v>
      </c>
      <c r="I259" s="18" t="n">
        <v>5600</v>
      </c>
      <c r="J259" s="18" t="n">
        <v>0.1741</v>
      </c>
      <c r="K259" s="18" t="n">
        <v>0.57</v>
      </c>
      <c r="L259" s="18" t="n">
        <v>0.09</v>
      </c>
      <c r="M259" s="18" t="n">
        <v>0.79</v>
      </c>
      <c r="N259" s="16"/>
    </row>
    <row r="260" customFormat="false" ht="18" hidden="false" customHeight="true" outlineLevel="0" collapsed="false">
      <c r="B260" s="19" t="s">
        <v>580</v>
      </c>
      <c r="C260" s="20" t="s">
        <v>312</v>
      </c>
      <c r="D260" s="21" t="s">
        <v>560</v>
      </c>
      <c r="E260" s="21" t="s">
        <v>313</v>
      </c>
      <c r="F260" s="20" t="s">
        <v>314</v>
      </c>
      <c r="G260" s="21" t="s">
        <v>65</v>
      </c>
      <c r="H260" s="21" t="n">
        <v>4.58</v>
      </c>
      <c r="I260" s="21" t="n">
        <v>2800</v>
      </c>
      <c r="J260" s="21" t="n">
        <v>1.1942</v>
      </c>
      <c r="K260" s="21" t="n">
        <v>5.47</v>
      </c>
      <c r="L260" s="21" t="n">
        <v>0.18</v>
      </c>
      <c r="M260" s="21" t="n">
        <v>6.78</v>
      </c>
      <c r="N260" s="19"/>
    </row>
    <row r="261" customFormat="false" ht="18" hidden="false" customHeight="true" outlineLevel="0" collapsed="false">
      <c r="B261" s="16" t="s">
        <v>581</v>
      </c>
      <c r="C261" s="17" t="s">
        <v>83</v>
      </c>
      <c r="D261" s="18" t="s">
        <v>560</v>
      </c>
      <c r="E261" s="18" t="s">
        <v>240</v>
      </c>
      <c r="F261" s="16" t="s">
        <v>86</v>
      </c>
      <c r="G261" s="18" t="s">
        <v>49</v>
      </c>
      <c r="H261" s="18"/>
      <c r="I261" s="18" t="n">
        <v>1820</v>
      </c>
      <c r="J261" s="18" t="n">
        <v>0.151</v>
      </c>
      <c r="K261" s="18"/>
      <c r="L261" s="18" t="n">
        <v>0.27</v>
      </c>
      <c r="M261" s="18" t="s">
        <v>49</v>
      </c>
      <c r="N261" s="16" t="s">
        <v>81</v>
      </c>
    </row>
    <row r="262" customFormat="false" ht="18" hidden="false" customHeight="true" outlineLevel="0" collapsed="false">
      <c r="B262" s="19" t="s">
        <v>582</v>
      </c>
      <c r="C262" s="20" t="s">
        <v>83</v>
      </c>
      <c r="D262" s="21" t="s">
        <v>560</v>
      </c>
      <c r="E262" s="21" t="s">
        <v>242</v>
      </c>
      <c r="F262" s="20" t="s">
        <v>64</v>
      </c>
      <c r="G262" s="21" t="s">
        <v>65</v>
      </c>
      <c r="H262" s="21" t="n">
        <v>4.58</v>
      </c>
      <c r="I262" s="21" t="n">
        <v>910</v>
      </c>
      <c r="J262" s="21" t="n">
        <v>0.8953</v>
      </c>
      <c r="K262" s="21" t="n">
        <v>4.1</v>
      </c>
      <c r="L262" s="21" t="n">
        <v>0.55</v>
      </c>
      <c r="M262" s="21" t="n">
        <v>5.58</v>
      </c>
      <c r="N262" s="19"/>
    </row>
    <row r="263" customFormat="false" ht="18" hidden="false" customHeight="true" outlineLevel="0" collapsed="false">
      <c r="B263" s="16" t="s">
        <v>583</v>
      </c>
      <c r="C263" s="17" t="s">
        <v>72</v>
      </c>
      <c r="D263" s="18" t="s">
        <v>578</v>
      </c>
      <c r="E263" s="18" t="n">
        <v>0</v>
      </c>
      <c r="F263" s="16"/>
      <c r="G263" s="18"/>
      <c r="H263" s="18"/>
      <c r="I263" s="18" t="n">
        <v>12</v>
      </c>
      <c r="J263" s="18"/>
      <c r="K263" s="18"/>
      <c r="L263" s="18" t="n">
        <v>41.67</v>
      </c>
      <c r="M263" s="18" t="s">
        <v>49</v>
      </c>
      <c r="N263" s="16" t="s">
        <v>50</v>
      </c>
    </row>
    <row r="264" customFormat="false" ht="18" hidden="false" customHeight="true" outlineLevel="0" collapsed="false">
      <c r="B264" s="19" t="s">
        <v>584</v>
      </c>
      <c r="C264" s="20" t="s">
        <v>39</v>
      </c>
      <c r="D264" s="21" t="s">
        <v>585</v>
      </c>
      <c r="E264" s="21" t="s">
        <v>244</v>
      </c>
      <c r="F264" s="19" t="s">
        <v>245</v>
      </c>
      <c r="G264" s="21" t="s">
        <v>43</v>
      </c>
      <c r="H264" s="21" t="n">
        <v>3.26</v>
      </c>
      <c r="I264" s="21" t="n">
        <v>600</v>
      </c>
      <c r="J264" s="21" t="n">
        <v>0.9246</v>
      </c>
      <c r="K264" s="21" t="n">
        <v>3.01</v>
      </c>
      <c r="L264" s="21" t="n">
        <v>0.83</v>
      </c>
      <c r="M264" s="21" t="n">
        <v>4.62</v>
      </c>
      <c r="N264" s="19"/>
    </row>
    <row r="265" customFormat="false" ht="18" hidden="false" customHeight="true" outlineLevel="0" collapsed="false">
      <c r="B265" s="16" t="s">
        <v>586</v>
      </c>
      <c r="C265" s="17" t="s">
        <v>39</v>
      </c>
      <c r="D265" s="18" t="s">
        <v>585</v>
      </c>
      <c r="E265" s="18" t="s">
        <v>247</v>
      </c>
      <c r="F265" s="16" t="s">
        <v>245</v>
      </c>
      <c r="G265" s="18" t="s">
        <v>43</v>
      </c>
      <c r="H265" s="18" t="n">
        <v>3.26</v>
      </c>
      <c r="I265" s="18" t="n">
        <v>1000</v>
      </c>
      <c r="J265" s="18" t="n">
        <v>1.1104</v>
      </c>
      <c r="K265" s="18" t="n">
        <v>3.62</v>
      </c>
      <c r="L265" s="18" t="n">
        <v>0.5</v>
      </c>
      <c r="M265" s="18" t="n">
        <v>4.94</v>
      </c>
      <c r="N265" s="16"/>
    </row>
    <row r="266" customFormat="false" ht="18" hidden="false" customHeight="true" outlineLevel="0" collapsed="false">
      <c r="B266" s="19" t="s">
        <v>587</v>
      </c>
      <c r="C266" s="20" t="s">
        <v>231</v>
      </c>
      <c r="D266" s="21" t="s">
        <v>585</v>
      </c>
      <c r="E266" s="21" t="s">
        <v>588</v>
      </c>
      <c r="F266" s="19" t="s">
        <v>234</v>
      </c>
      <c r="G266" s="21" t="s">
        <v>43</v>
      </c>
      <c r="H266" s="21" t="n">
        <v>3.26</v>
      </c>
      <c r="I266" s="21" t="n">
        <v>1000</v>
      </c>
      <c r="J266" s="21" t="n">
        <v>0.1745</v>
      </c>
      <c r="K266" s="21" t="n">
        <v>0.57</v>
      </c>
      <c r="L266" s="21" t="n">
        <v>0.5</v>
      </c>
      <c r="M266" s="21" t="n">
        <v>1.28</v>
      </c>
      <c r="N266" s="19"/>
    </row>
    <row r="267" customFormat="false" ht="18" hidden="false" customHeight="true" outlineLevel="0" collapsed="false">
      <c r="B267" s="16" t="s">
        <v>589</v>
      </c>
      <c r="C267" s="17" t="s">
        <v>590</v>
      </c>
      <c r="D267" s="18" t="s">
        <v>585</v>
      </c>
      <c r="E267" s="18" t="s">
        <v>591</v>
      </c>
      <c r="F267" s="17" t="s">
        <v>592</v>
      </c>
      <c r="G267" s="18" t="s">
        <v>49</v>
      </c>
      <c r="H267" s="18"/>
      <c r="I267" s="18" t="n">
        <v>1500</v>
      </c>
      <c r="J267" s="18"/>
      <c r="K267" s="18"/>
      <c r="L267" s="18" t="n">
        <v>0.33</v>
      </c>
      <c r="M267" s="18" t="s">
        <v>49</v>
      </c>
      <c r="N267" s="16" t="s">
        <v>81</v>
      </c>
    </row>
    <row r="268" customFormat="false" ht="18" hidden="false" customHeight="true" outlineLevel="0" collapsed="false">
      <c r="B268" s="19" t="s">
        <v>583</v>
      </c>
      <c r="C268" s="20" t="s">
        <v>72</v>
      </c>
      <c r="D268" s="21" t="s">
        <v>578</v>
      </c>
      <c r="E268" s="21" t="n">
        <v>0</v>
      </c>
      <c r="F268" s="19"/>
      <c r="G268" s="21"/>
      <c r="H268" s="21"/>
      <c r="I268" s="21" t="n">
        <v>8</v>
      </c>
      <c r="J268" s="21"/>
      <c r="K268" s="21"/>
      <c r="L268" s="21" t="n">
        <v>62.5</v>
      </c>
      <c r="M268" s="21" t="s">
        <v>49</v>
      </c>
      <c r="N268" s="19" t="s">
        <v>50</v>
      </c>
    </row>
    <row r="269" customFormat="false" ht="18" hidden="false" customHeight="true" outlineLevel="0" collapsed="false">
      <c r="B269" s="16" t="s">
        <v>593</v>
      </c>
      <c r="C269" s="17" t="s">
        <v>137</v>
      </c>
      <c r="D269" s="18" t="s">
        <v>594</v>
      </c>
      <c r="E269" s="18" t="s">
        <v>140</v>
      </c>
      <c r="F269" s="16"/>
      <c r="G269" s="18"/>
      <c r="H269" s="18"/>
      <c r="I269" s="18" t="n">
        <v>5340</v>
      </c>
      <c r="J269" s="18"/>
      <c r="K269" s="18"/>
      <c r="L269" s="18" t="n">
        <v>0.09</v>
      </c>
      <c r="M269" s="18" t="s">
        <v>49</v>
      </c>
      <c r="N269" s="16" t="s">
        <v>50</v>
      </c>
    </row>
    <row r="270" customFormat="false" ht="18" hidden="false" customHeight="true" outlineLevel="0" collapsed="false">
      <c r="B270" s="19" t="s">
        <v>595</v>
      </c>
      <c r="C270" s="20" t="s">
        <v>137</v>
      </c>
      <c r="D270" s="21" t="s">
        <v>594</v>
      </c>
      <c r="E270" s="21" t="s">
        <v>142</v>
      </c>
      <c r="F270" s="19"/>
      <c r="G270" s="21"/>
      <c r="H270" s="21"/>
      <c r="I270" s="21" t="n">
        <v>3356</v>
      </c>
      <c r="J270" s="21"/>
      <c r="K270" s="21"/>
      <c r="L270" s="21" t="n">
        <v>0.15</v>
      </c>
      <c r="M270" s="21" t="s">
        <v>49</v>
      </c>
      <c r="N270" s="19" t="s">
        <v>50</v>
      </c>
    </row>
    <row r="271" customFormat="false" ht="18" hidden="false" customHeight="true" outlineLevel="0" collapsed="false">
      <c r="B271" s="16" t="s">
        <v>596</v>
      </c>
      <c r="C271" s="17" t="s">
        <v>137</v>
      </c>
      <c r="D271" s="18" t="s">
        <v>594</v>
      </c>
      <c r="E271" s="18" t="s">
        <v>144</v>
      </c>
      <c r="F271" s="16"/>
      <c r="G271" s="18"/>
      <c r="H271" s="18"/>
      <c r="I271" s="18" t="n">
        <v>1944</v>
      </c>
      <c r="J271" s="18"/>
      <c r="K271" s="18"/>
      <c r="L271" s="18" t="n">
        <v>0.26</v>
      </c>
      <c r="M271" s="18" t="s">
        <v>49</v>
      </c>
      <c r="N271" s="16" t="s">
        <v>50</v>
      </c>
    </row>
    <row r="272" customFormat="false" ht="18" hidden="false" customHeight="true" outlineLevel="0" collapsed="false">
      <c r="B272" s="19" t="s">
        <v>597</v>
      </c>
      <c r="C272" s="20" t="s">
        <v>137</v>
      </c>
      <c r="D272" s="21" t="s">
        <v>598</v>
      </c>
      <c r="E272" s="21" t="s">
        <v>138</v>
      </c>
      <c r="F272" s="19"/>
      <c r="G272" s="21"/>
      <c r="H272" s="21"/>
      <c r="I272" s="21" t="n">
        <v>1280</v>
      </c>
      <c r="J272" s="21"/>
      <c r="K272" s="21"/>
      <c r="L272" s="21" t="n">
        <v>0.39</v>
      </c>
      <c r="M272" s="21" t="s">
        <v>49</v>
      </c>
      <c r="N272" s="19" t="s">
        <v>50</v>
      </c>
    </row>
    <row r="273" customFormat="false" ht="18" hidden="false" customHeight="true" outlineLevel="0" collapsed="false">
      <c r="B273" s="16" t="s">
        <v>599</v>
      </c>
      <c r="C273" s="17" t="s">
        <v>137</v>
      </c>
      <c r="D273" s="18" t="s">
        <v>598</v>
      </c>
      <c r="E273" s="18" t="s">
        <v>140</v>
      </c>
      <c r="F273" s="16"/>
      <c r="G273" s="18"/>
      <c r="H273" s="18"/>
      <c r="I273" s="18" t="n">
        <v>640</v>
      </c>
      <c r="J273" s="18"/>
      <c r="K273" s="18"/>
      <c r="L273" s="18" t="n">
        <v>0.78</v>
      </c>
      <c r="M273" s="18" t="s">
        <v>49</v>
      </c>
      <c r="N273" s="16" t="s">
        <v>50</v>
      </c>
    </row>
    <row r="274" customFormat="false" ht="18" hidden="false" customHeight="true" outlineLevel="0" collapsed="false">
      <c r="B274" s="19" t="s">
        <v>600</v>
      </c>
      <c r="C274" s="20" t="s">
        <v>137</v>
      </c>
      <c r="D274" s="21" t="s">
        <v>598</v>
      </c>
      <c r="E274" s="21" t="s">
        <v>142</v>
      </c>
      <c r="F274" s="19"/>
      <c r="G274" s="21"/>
      <c r="H274" s="21"/>
      <c r="I274" s="21" t="n">
        <v>640</v>
      </c>
      <c r="J274" s="21"/>
      <c r="K274" s="21"/>
      <c r="L274" s="21" t="n">
        <v>0.78</v>
      </c>
      <c r="M274" s="21" t="s">
        <v>49</v>
      </c>
      <c r="N274" s="19" t="s">
        <v>50</v>
      </c>
    </row>
    <row r="275" customFormat="false" ht="18" hidden="false" customHeight="true" outlineLevel="0" collapsed="false">
      <c r="B275" s="16" t="s">
        <v>601</v>
      </c>
      <c r="C275" s="17" t="s">
        <v>137</v>
      </c>
      <c r="D275" s="18" t="s">
        <v>598</v>
      </c>
      <c r="E275" s="18" t="s">
        <v>144</v>
      </c>
      <c r="F275" s="16"/>
      <c r="G275" s="18"/>
      <c r="H275" s="18"/>
      <c r="I275" s="18" t="n">
        <v>640</v>
      </c>
      <c r="J275" s="18"/>
      <c r="K275" s="18"/>
      <c r="L275" s="18" t="n">
        <v>0.78</v>
      </c>
      <c r="M275" s="18" t="s">
        <v>49</v>
      </c>
      <c r="N275" s="16" t="s">
        <v>50</v>
      </c>
    </row>
    <row r="276" customFormat="false" ht="18" hidden="false" customHeight="true" outlineLevel="0" collapsed="false">
      <c r="B276" s="19" t="s">
        <v>602</v>
      </c>
      <c r="C276" s="20" t="s">
        <v>39</v>
      </c>
      <c r="D276" s="21" t="s">
        <v>598</v>
      </c>
      <c r="E276" s="21" t="s">
        <v>287</v>
      </c>
      <c r="F276" s="20" t="s">
        <v>283</v>
      </c>
      <c r="G276" s="21" t="s">
        <v>65</v>
      </c>
      <c r="H276" s="21" t="n">
        <v>4.58</v>
      </c>
      <c r="I276" s="21" t="n">
        <v>700</v>
      </c>
      <c r="J276" s="21" t="n">
        <v>0.7952</v>
      </c>
      <c r="K276" s="21" t="n">
        <v>3.64</v>
      </c>
      <c r="L276" s="21" t="n">
        <v>0.71</v>
      </c>
      <c r="M276" s="21" t="n">
        <v>5.23</v>
      </c>
      <c r="N276" s="19"/>
    </row>
    <row r="277" customFormat="false" ht="18" hidden="false" customHeight="true" outlineLevel="0" collapsed="false">
      <c r="B277" s="16" t="s">
        <v>603</v>
      </c>
      <c r="C277" s="17" t="s">
        <v>276</v>
      </c>
      <c r="D277" s="18" t="s">
        <v>604</v>
      </c>
      <c r="E277" s="18" t="s">
        <v>605</v>
      </c>
      <c r="F277" s="17" t="s">
        <v>518</v>
      </c>
      <c r="G277" s="18" t="s">
        <v>65</v>
      </c>
      <c r="H277" s="18" t="n">
        <v>4.58</v>
      </c>
      <c r="I277" s="18" t="n">
        <v>2</v>
      </c>
      <c r="J277" s="18" t="n">
        <v>1.6999</v>
      </c>
      <c r="K277" s="18" t="n">
        <v>7.79</v>
      </c>
      <c r="L277" s="18" t="n">
        <v>250</v>
      </c>
      <c r="M277" s="18" t="n">
        <v>309.34</v>
      </c>
      <c r="N277" s="16"/>
    </row>
    <row r="278" customFormat="false" ht="18" hidden="false" customHeight="true" outlineLevel="0" collapsed="false">
      <c r="B278" s="19" t="s">
        <v>606</v>
      </c>
      <c r="C278" s="20" t="s">
        <v>351</v>
      </c>
      <c r="D278" s="21" t="s">
        <v>607</v>
      </c>
      <c r="E278" s="21" t="s">
        <v>608</v>
      </c>
      <c r="F278" s="20" t="s">
        <v>257</v>
      </c>
      <c r="G278" s="21" t="s">
        <v>56</v>
      </c>
      <c r="H278" s="21" t="n">
        <v>4.13</v>
      </c>
      <c r="I278" s="21" t="n">
        <v>150</v>
      </c>
      <c r="J278" s="21" t="n">
        <v>0.6487</v>
      </c>
      <c r="K278" s="21" t="n">
        <v>2.68</v>
      </c>
      <c r="L278" s="21" t="n">
        <v>3.33</v>
      </c>
      <c r="M278" s="21" t="n">
        <v>7.21</v>
      </c>
      <c r="N278" s="19"/>
    </row>
    <row r="279" customFormat="false" ht="18" hidden="false" customHeight="true" outlineLevel="0" collapsed="false">
      <c r="B279" s="16" t="s">
        <v>609</v>
      </c>
      <c r="C279" s="17" t="s">
        <v>77</v>
      </c>
      <c r="D279" s="18" t="s">
        <v>610</v>
      </c>
      <c r="E279" s="18" t="s">
        <v>508</v>
      </c>
      <c r="F279" s="16"/>
      <c r="G279" s="18"/>
      <c r="H279" s="18"/>
      <c r="I279" s="18" t="n">
        <v>100</v>
      </c>
      <c r="J279" s="18"/>
      <c r="K279" s="18"/>
      <c r="L279" s="18" t="n">
        <v>5</v>
      </c>
      <c r="M279" s="18" t="s">
        <v>49</v>
      </c>
      <c r="N279" s="16" t="s">
        <v>50</v>
      </c>
    </row>
    <row r="280" customFormat="false" ht="18" hidden="false" customHeight="true" outlineLevel="0" collapsed="false">
      <c r="B280" s="19" t="s">
        <v>611</v>
      </c>
      <c r="C280" s="20" t="s">
        <v>133</v>
      </c>
      <c r="D280" s="21" t="s">
        <v>612</v>
      </c>
      <c r="E280" s="21" t="s">
        <v>613</v>
      </c>
      <c r="F280" s="19" t="s">
        <v>614</v>
      </c>
      <c r="G280" s="21" t="s">
        <v>49</v>
      </c>
      <c r="H280" s="21"/>
      <c r="I280" s="21" t="n">
        <v>100</v>
      </c>
      <c r="J280" s="21"/>
      <c r="K280" s="21"/>
      <c r="L280" s="21" t="n">
        <v>5</v>
      </c>
      <c r="M280" s="21" t="s">
        <v>49</v>
      </c>
      <c r="N280" s="19" t="s">
        <v>81</v>
      </c>
    </row>
    <row r="281" customFormat="false" ht="18" hidden="false" customHeight="true" outlineLevel="0" collapsed="false">
      <c r="B281" s="16" t="s">
        <v>615</v>
      </c>
      <c r="C281" s="17" t="s">
        <v>133</v>
      </c>
      <c r="D281" s="18" t="s">
        <v>610</v>
      </c>
      <c r="E281" s="18" t="s">
        <v>616</v>
      </c>
      <c r="F281" s="17" t="s">
        <v>229</v>
      </c>
      <c r="G281" s="18" t="s">
        <v>56</v>
      </c>
      <c r="H281" s="18" t="n">
        <v>4.13</v>
      </c>
      <c r="I281" s="18" t="n">
        <v>100</v>
      </c>
      <c r="J281" s="18"/>
      <c r="K281" s="18"/>
      <c r="L281" s="18" t="n">
        <v>5</v>
      </c>
      <c r="M281" s="18" t="s">
        <v>49</v>
      </c>
      <c r="N281" s="16" t="s">
        <v>50</v>
      </c>
    </row>
    <row r="282" customFormat="false" ht="18" hidden="false" customHeight="true" outlineLevel="0" collapsed="false">
      <c r="B282" s="19" t="s">
        <v>617</v>
      </c>
      <c r="C282" s="20" t="s">
        <v>83</v>
      </c>
      <c r="D282" s="21" t="s">
        <v>607</v>
      </c>
      <c r="E282" s="21" t="s">
        <v>324</v>
      </c>
      <c r="F282" s="20" t="s">
        <v>325</v>
      </c>
      <c r="G282" s="21" t="s">
        <v>65</v>
      </c>
      <c r="H282" s="21" t="n">
        <v>4.58</v>
      </c>
      <c r="I282" s="21" t="n">
        <v>1200</v>
      </c>
      <c r="J282" s="21" t="n">
        <v>1.1188</v>
      </c>
      <c r="K282" s="21" t="n">
        <v>5.12</v>
      </c>
      <c r="L282" s="21" t="n">
        <v>0.42</v>
      </c>
      <c r="M282" s="21" t="n">
        <v>6.65</v>
      </c>
      <c r="N282" s="19"/>
    </row>
    <row r="283" customFormat="false" ht="18" hidden="false" customHeight="true" outlineLevel="0" collapsed="false">
      <c r="B283" s="16" t="s">
        <v>618</v>
      </c>
      <c r="C283" s="17" t="s">
        <v>83</v>
      </c>
      <c r="D283" s="18" t="s">
        <v>610</v>
      </c>
      <c r="E283" s="18" t="s">
        <v>321</v>
      </c>
      <c r="F283" s="16" t="s">
        <v>86</v>
      </c>
      <c r="G283" s="18" t="s">
        <v>49</v>
      </c>
      <c r="H283" s="18"/>
      <c r="I283" s="18" t="n">
        <v>2400</v>
      </c>
      <c r="J283" s="18" t="n">
        <v>0.2079</v>
      </c>
      <c r="K283" s="18"/>
      <c r="L283" s="18" t="n">
        <v>0.21</v>
      </c>
      <c r="M283" s="18" t="s">
        <v>49</v>
      </c>
      <c r="N283" s="16" t="s">
        <v>81</v>
      </c>
    </row>
    <row r="284" customFormat="false" ht="18" hidden="false" customHeight="true" outlineLevel="0" collapsed="false">
      <c r="B284" s="19" t="s">
        <v>619</v>
      </c>
      <c r="C284" s="20" t="s">
        <v>133</v>
      </c>
      <c r="D284" s="21" t="s">
        <v>610</v>
      </c>
      <c r="E284" s="21" t="s">
        <v>620</v>
      </c>
      <c r="F284" s="20" t="s">
        <v>229</v>
      </c>
      <c r="G284" s="21" t="s">
        <v>56</v>
      </c>
      <c r="H284" s="21" t="n">
        <v>4.13</v>
      </c>
      <c r="I284" s="21" t="n">
        <v>220</v>
      </c>
      <c r="J284" s="21"/>
      <c r="K284" s="21"/>
      <c r="L284" s="21" t="n">
        <v>2.27</v>
      </c>
      <c r="M284" s="21" t="s">
        <v>49</v>
      </c>
      <c r="N284" s="19" t="s">
        <v>50</v>
      </c>
    </row>
    <row r="285" customFormat="false" ht="18" hidden="false" customHeight="true" outlineLevel="0" collapsed="false">
      <c r="B285" s="16" t="s">
        <v>621</v>
      </c>
      <c r="C285" s="17" t="s">
        <v>133</v>
      </c>
      <c r="D285" s="18" t="s">
        <v>610</v>
      </c>
      <c r="E285" s="18" t="s">
        <v>622</v>
      </c>
      <c r="F285" s="16" t="s">
        <v>135</v>
      </c>
      <c r="G285" s="18" t="s">
        <v>49</v>
      </c>
      <c r="H285" s="18"/>
      <c r="I285" s="18" t="n">
        <v>220</v>
      </c>
      <c r="J285" s="18"/>
      <c r="K285" s="18"/>
      <c r="L285" s="18" t="n">
        <v>2.27</v>
      </c>
      <c r="M285" s="18" t="s">
        <v>49</v>
      </c>
      <c r="N285" s="16" t="s">
        <v>81</v>
      </c>
    </row>
    <row r="286" customFormat="false" ht="18" hidden="false" customHeight="true" outlineLevel="0" collapsed="false">
      <c r="B286" s="19" t="s">
        <v>623</v>
      </c>
      <c r="C286" s="20" t="s">
        <v>137</v>
      </c>
      <c r="D286" s="21" t="s">
        <v>624</v>
      </c>
      <c r="E286" s="21" t="s">
        <v>138</v>
      </c>
      <c r="F286" s="19"/>
      <c r="G286" s="21"/>
      <c r="H286" s="21"/>
      <c r="I286" s="21" t="n">
        <v>1296</v>
      </c>
      <c r="J286" s="21"/>
      <c r="K286" s="21"/>
      <c r="L286" s="21" t="n">
        <v>0.39</v>
      </c>
      <c r="M286" s="21" t="s">
        <v>49</v>
      </c>
      <c r="N286" s="19" t="s">
        <v>50</v>
      </c>
    </row>
    <row r="287" customFormat="false" ht="18" hidden="false" customHeight="true" outlineLevel="0" collapsed="false">
      <c r="B287" s="16" t="s">
        <v>625</v>
      </c>
      <c r="C287" s="17" t="s">
        <v>137</v>
      </c>
      <c r="D287" s="18" t="s">
        <v>624</v>
      </c>
      <c r="E287" s="18" t="s">
        <v>140</v>
      </c>
      <c r="F287" s="16"/>
      <c r="G287" s="18"/>
      <c r="H287" s="18"/>
      <c r="I287" s="18" t="n">
        <v>648</v>
      </c>
      <c r="J287" s="18"/>
      <c r="K287" s="18"/>
      <c r="L287" s="18" t="n">
        <v>0.77</v>
      </c>
      <c r="M287" s="18" t="s">
        <v>49</v>
      </c>
      <c r="N287" s="16" t="s">
        <v>50</v>
      </c>
    </row>
    <row r="288" customFormat="false" ht="18" hidden="false" customHeight="true" outlineLevel="0" collapsed="false">
      <c r="B288" s="19" t="s">
        <v>626</v>
      </c>
      <c r="C288" s="20" t="s">
        <v>137</v>
      </c>
      <c r="D288" s="21" t="s">
        <v>624</v>
      </c>
      <c r="E288" s="21" t="s">
        <v>142</v>
      </c>
      <c r="F288" s="19"/>
      <c r="G288" s="21"/>
      <c r="H288" s="21"/>
      <c r="I288" s="21" t="n">
        <v>648</v>
      </c>
      <c r="J288" s="21"/>
      <c r="K288" s="21"/>
      <c r="L288" s="21" t="n">
        <v>0.77</v>
      </c>
      <c r="M288" s="21" t="s">
        <v>49</v>
      </c>
      <c r="N288" s="19" t="s">
        <v>50</v>
      </c>
    </row>
    <row r="289" customFormat="false" ht="18" hidden="false" customHeight="true" outlineLevel="0" collapsed="false">
      <c r="B289" s="16" t="s">
        <v>627</v>
      </c>
      <c r="C289" s="17" t="s">
        <v>137</v>
      </c>
      <c r="D289" s="18" t="s">
        <v>624</v>
      </c>
      <c r="E289" s="18" t="s">
        <v>144</v>
      </c>
      <c r="F289" s="16"/>
      <c r="G289" s="18"/>
      <c r="H289" s="18"/>
      <c r="I289" s="18" t="n">
        <v>648</v>
      </c>
      <c r="J289" s="18"/>
      <c r="K289" s="18"/>
      <c r="L289" s="18" t="n">
        <v>0.77</v>
      </c>
      <c r="M289" s="18" t="s">
        <v>49</v>
      </c>
      <c r="N289" s="16" t="s">
        <v>50</v>
      </c>
    </row>
    <row r="290" customFormat="false" ht="18" hidden="false" customHeight="true" outlineLevel="0" collapsed="false">
      <c r="B290" s="19" t="s">
        <v>628</v>
      </c>
      <c r="C290" s="20" t="s">
        <v>39</v>
      </c>
      <c r="D290" s="21" t="s">
        <v>629</v>
      </c>
      <c r="E290" s="21" t="s">
        <v>430</v>
      </c>
      <c r="F290" s="19" t="s">
        <v>245</v>
      </c>
      <c r="G290" s="21" t="s">
        <v>43</v>
      </c>
      <c r="H290" s="21" t="n">
        <v>3.26</v>
      </c>
      <c r="I290" s="21" t="n">
        <v>700</v>
      </c>
      <c r="J290" s="21" t="n">
        <v>0.68</v>
      </c>
      <c r="K290" s="21" t="n">
        <v>2.22</v>
      </c>
      <c r="L290" s="21" t="n">
        <v>0.71</v>
      </c>
      <c r="M290" s="21" t="n">
        <v>3.52</v>
      </c>
      <c r="N290" s="19"/>
    </row>
    <row r="291" customFormat="false" ht="18" hidden="false" customHeight="true" outlineLevel="0" collapsed="false">
      <c r="B291" s="16" t="s">
        <v>630</v>
      </c>
      <c r="C291" s="17" t="s">
        <v>631</v>
      </c>
      <c r="D291" s="18" t="s">
        <v>624</v>
      </c>
      <c r="E291" s="18" t="s">
        <v>632</v>
      </c>
      <c r="F291" s="16"/>
      <c r="G291" s="18"/>
      <c r="H291" s="18"/>
      <c r="I291" s="18" t="n">
        <v>300</v>
      </c>
      <c r="J291" s="18"/>
      <c r="K291" s="18"/>
      <c r="L291" s="18" t="n">
        <v>1.67</v>
      </c>
      <c r="M291" s="18" t="s">
        <v>49</v>
      </c>
      <c r="N291" s="16" t="s">
        <v>50</v>
      </c>
    </row>
    <row r="292" customFormat="false" ht="18" hidden="false" customHeight="true" outlineLevel="0" collapsed="false">
      <c r="B292" s="19" t="s">
        <v>633</v>
      </c>
      <c r="C292" s="20" t="s">
        <v>631</v>
      </c>
      <c r="D292" s="21" t="s">
        <v>624</v>
      </c>
      <c r="E292" s="21" t="s">
        <v>634</v>
      </c>
      <c r="F292" s="19"/>
      <c r="G292" s="21"/>
      <c r="H292" s="21"/>
      <c r="I292" s="21" t="n">
        <v>300</v>
      </c>
      <c r="J292" s="21"/>
      <c r="K292" s="21"/>
      <c r="L292" s="21" t="n">
        <v>1.67</v>
      </c>
      <c r="M292" s="21" t="s">
        <v>49</v>
      </c>
      <c r="N292" s="19" t="s">
        <v>50</v>
      </c>
    </row>
    <row r="293" customFormat="false" ht="18" hidden="false" customHeight="true" outlineLevel="0" collapsed="false">
      <c r="B293" s="16" t="s">
        <v>635</v>
      </c>
      <c r="C293" s="17" t="s">
        <v>91</v>
      </c>
      <c r="D293" s="18" t="s">
        <v>636</v>
      </c>
      <c r="E293" s="18" t="s">
        <v>129</v>
      </c>
      <c r="F293" s="17" t="s">
        <v>130</v>
      </c>
      <c r="G293" s="18" t="s">
        <v>131</v>
      </c>
      <c r="H293" s="18" t="n">
        <v>5.23</v>
      </c>
      <c r="I293" s="18" t="n">
        <v>4</v>
      </c>
      <c r="J293" s="18" t="n">
        <v>1.0975</v>
      </c>
      <c r="K293" s="18" t="n">
        <v>5.74</v>
      </c>
      <c r="L293" s="18" t="n">
        <v>125</v>
      </c>
      <c r="M293" s="18" t="n">
        <v>156.89</v>
      </c>
      <c r="N293" s="16"/>
    </row>
    <row r="294" customFormat="false" ht="18" hidden="false" customHeight="true" outlineLevel="0" collapsed="false">
      <c r="B294" s="19" t="s">
        <v>637</v>
      </c>
      <c r="C294" s="20" t="s">
        <v>631</v>
      </c>
      <c r="D294" s="21" t="s">
        <v>636</v>
      </c>
      <c r="E294" s="21" t="s">
        <v>638</v>
      </c>
      <c r="F294" s="20" t="s">
        <v>639</v>
      </c>
      <c r="G294" s="21" t="s">
        <v>56</v>
      </c>
      <c r="H294" s="21" t="n">
        <v>4.13</v>
      </c>
      <c r="I294" s="21" t="n">
        <v>40</v>
      </c>
      <c r="J294" s="21" t="n">
        <v>0.7572</v>
      </c>
      <c r="K294" s="21" t="n">
        <v>3.13</v>
      </c>
      <c r="L294" s="21" t="n">
        <v>12.5</v>
      </c>
      <c r="M294" s="21" t="n">
        <v>18.75</v>
      </c>
      <c r="N294" s="19"/>
    </row>
    <row r="295" customFormat="false" ht="18" hidden="false" customHeight="true" outlineLevel="0" collapsed="false">
      <c r="B295" s="16" t="s">
        <v>640</v>
      </c>
      <c r="C295" s="17" t="s">
        <v>631</v>
      </c>
      <c r="D295" s="18" t="s">
        <v>636</v>
      </c>
      <c r="E295" s="18" t="s">
        <v>641</v>
      </c>
      <c r="F295" s="17" t="s">
        <v>174</v>
      </c>
      <c r="G295" s="18" t="s">
        <v>65</v>
      </c>
      <c r="H295" s="18" t="n">
        <v>4.58</v>
      </c>
      <c r="I295" s="18" t="n">
        <v>5</v>
      </c>
      <c r="J295" s="18" t="n">
        <v>1.6402</v>
      </c>
      <c r="K295" s="18" t="n">
        <v>7.51</v>
      </c>
      <c r="L295" s="18" t="n">
        <v>100</v>
      </c>
      <c r="M295" s="18" t="n">
        <v>129.01</v>
      </c>
      <c r="N295" s="16"/>
    </row>
    <row r="296" customFormat="false" ht="18" hidden="false" customHeight="true" outlineLevel="0" collapsed="false">
      <c r="B296" s="19" t="s">
        <v>642</v>
      </c>
      <c r="C296" s="20" t="s">
        <v>72</v>
      </c>
      <c r="D296" s="21" t="s">
        <v>643</v>
      </c>
      <c r="E296" s="21" t="s">
        <v>209</v>
      </c>
      <c r="F296" s="20" t="s">
        <v>210</v>
      </c>
      <c r="G296" s="21" t="s">
        <v>43</v>
      </c>
      <c r="H296" s="21" t="n">
        <v>3.26</v>
      </c>
      <c r="I296" s="21" t="n">
        <v>1000</v>
      </c>
      <c r="J296" s="21" t="n">
        <v>0.7086</v>
      </c>
      <c r="K296" s="21" t="n">
        <v>2.31</v>
      </c>
      <c r="L296" s="21" t="n">
        <v>0.5</v>
      </c>
      <c r="M296" s="21" t="n">
        <v>3.37</v>
      </c>
      <c r="N296" s="19"/>
    </row>
    <row r="297" customFormat="false" ht="18" hidden="false" customHeight="true" outlineLevel="0" collapsed="false">
      <c r="B297" s="16" t="s">
        <v>644</v>
      </c>
      <c r="C297" s="17" t="s">
        <v>52</v>
      </c>
      <c r="D297" s="18" t="s">
        <v>645</v>
      </c>
      <c r="E297" s="18" t="s">
        <v>193</v>
      </c>
      <c r="F297" s="16"/>
      <c r="G297" s="18"/>
      <c r="H297" s="18"/>
      <c r="I297" s="18" t="n">
        <v>200</v>
      </c>
      <c r="J297" s="18"/>
      <c r="K297" s="18"/>
      <c r="L297" s="18" t="n">
        <v>2.5</v>
      </c>
      <c r="M297" s="18" t="s">
        <v>49</v>
      </c>
      <c r="N297" s="16" t="s">
        <v>50</v>
      </c>
    </row>
    <row r="298" customFormat="false" ht="18" hidden="false" customHeight="true" outlineLevel="0" collapsed="false">
      <c r="B298" s="19" t="s">
        <v>646</v>
      </c>
      <c r="C298" s="20" t="s">
        <v>52</v>
      </c>
      <c r="D298" s="21" t="s">
        <v>645</v>
      </c>
      <c r="E298" s="21" t="s">
        <v>195</v>
      </c>
      <c r="F298" s="19"/>
      <c r="G298" s="21"/>
      <c r="H298" s="21"/>
      <c r="I298" s="21" t="n">
        <v>400</v>
      </c>
      <c r="J298" s="21"/>
      <c r="K298" s="21"/>
      <c r="L298" s="21" t="n">
        <v>1.25</v>
      </c>
      <c r="M298" s="21" t="s">
        <v>49</v>
      </c>
      <c r="N298" s="19" t="s">
        <v>50</v>
      </c>
    </row>
    <row r="299" customFormat="false" ht="18" hidden="false" customHeight="true" outlineLevel="0" collapsed="false">
      <c r="B299" s="16" t="s">
        <v>647</v>
      </c>
      <c r="C299" s="17" t="s">
        <v>52</v>
      </c>
      <c r="D299" s="18" t="s">
        <v>645</v>
      </c>
      <c r="E299" s="18" t="s">
        <v>197</v>
      </c>
      <c r="F299" s="16"/>
      <c r="G299" s="18"/>
      <c r="H299" s="18"/>
      <c r="I299" s="18" t="n">
        <v>400</v>
      </c>
      <c r="J299" s="18"/>
      <c r="K299" s="18"/>
      <c r="L299" s="18" t="n">
        <v>1.25</v>
      </c>
      <c r="M299" s="18" t="s">
        <v>49</v>
      </c>
      <c r="N299" s="16" t="s">
        <v>50</v>
      </c>
    </row>
    <row r="300" customFormat="false" ht="18" hidden="false" customHeight="true" outlineLevel="0" collapsed="false">
      <c r="B300" s="19" t="s">
        <v>648</v>
      </c>
      <c r="C300" s="20" t="s">
        <v>91</v>
      </c>
      <c r="D300" s="21" t="s">
        <v>645</v>
      </c>
      <c r="E300" s="21" t="s">
        <v>517</v>
      </c>
      <c r="F300" s="20" t="s">
        <v>518</v>
      </c>
      <c r="G300" s="21" t="s">
        <v>65</v>
      </c>
      <c r="H300" s="21" t="n">
        <v>4.58</v>
      </c>
      <c r="I300" s="21" t="n">
        <v>1500</v>
      </c>
      <c r="J300" s="21" t="n">
        <v>0.6033</v>
      </c>
      <c r="K300" s="21" t="n">
        <v>2.76</v>
      </c>
      <c r="L300" s="21" t="n">
        <v>0.33</v>
      </c>
      <c r="M300" s="21" t="n">
        <v>3.72</v>
      </c>
      <c r="N300" s="19"/>
    </row>
    <row r="301" customFormat="false" ht="18" hidden="false" customHeight="true" outlineLevel="0" collapsed="false">
      <c r="B301" s="16" t="s">
        <v>649</v>
      </c>
      <c r="C301" s="17" t="s">
        <v>52</v>
      </c>
      <c r="D301" s="18" t="s">
        <v>645</v>
      </c>
      <c r="E301" s="18" t="s">
        <v>650</v>
      </c>
      <c r="F301" s="17" t="s">
        <v>651</v>
      </c>
      <c r="G301" s="18" t="s">
        <v>56</v>
      </c>
      <c r="H301" s="18" t="n">
        <v>4.13</v>
      </c>
      <c r="I301" s="18" t="n">
        <v>400</v>
      </c>
      <c r="J301" s="18" t="n">
        <v>0.1697</v>
      </c>
      <c r="K301" s="18" t="n">
        <v>0.7</v>
      </c>
      <c r="L301" s="18" t="n">
        <v>1.25</v>
      </c>
      <c r="M301" s="18" t="n">
        <v>2.34</v>
      </c>
      <c r="N301" s="16"/>
    </row>
    <row r="302" customFormat="false" ht="18" hidden="false" customHeight="true" outlineLevel="0" collapsed="false">
      <c r="B302" s="19" t="s">
        <v>652</v>
      </c>
      <c r="C302" s="20" t="s">
        <v>631</v>
      </c>
      <c r="D302" s="21" t="s">
        <v>653</v>
      </c>
      <c r="E302" s="21" t="s">
        <v>632</v>
      </c>
      <c r="F302" s="19"/>
      <c r="G302" s="21"/>
      <c r="H302" s="21"/>
      <c r="I302" s="21" t="n">
        <v>300</v>
      </c>
      <c r="J302" s="21"/>
      <c r="K302" s="21"/>
      <c r="L302" s="21" t="n">
        <v>1.67</v>
      </c>
      <c r="M302" s="21" t="s">
        <v>49</v>
      </c>
      <c r="N302" s="19" t="s">
        <v>50</v>
      </c>
    </row>
    <row r="303" customFormat="false" ht="18" hidden="false" customHeight="true" outlineLevel="0" collapsed="false">
      <c r="B303" s="16" t="s">
        <v>654</v>
      </c>
      <c r="C303" s="17" t="s">
        <v>631</v>
      </c>
      <c r="D303" s="18" t="s">
        <v>653</v>
      </c>
      <c r="E303" s="18" t="s">
        <v>634</v>
      </c>
      <c r="F303" s="16"/>
      <c r="G303" s="18"/>
      <c r="H303" s="18"/>
      <c r="I303" s="18" t="n">
        <v>500</v>
      </c>
      <c r="J303" s="18"/>
      <c r="K303" s="18"/>
      <c r="L303" s="18" t="n">
        <v>1</v>
      </c>
      <c r="M303" s="18" t="s">
        <v>49</v>
      </c>
      <c r="N303" s="16" t="s">
        <v>50</v>
      </c>
    </row>
    <row r="304" customFormat="false" ht="18" hidden="false" customHeight="true" outlineLevel="0" collapsed="false">
      <c r="B304" s="19" t="s">
        <v>655</v>
      </c>
      <c r="C304" s="20" t="s">
        <v>631</v>
      </c>
      <c r="D304" s="21" t="s">
        <v>653</v>
      </c>
      <c r="E304" s="21" t="s">
        <v>641</v>
      </c>
      <c r="F304" s="20" t="s">
        <v>174</v>
      </c>
      <c r="G304" s="21" t="s">
        <v>65</v>
      </c>
      <c r="H304" s="21" t="n">
        <v>4.58</v>
      </c>
      <c r="I304" s="21" t="n">
        <v>10</v>
      </c>
      <c r="J304" s="21" t="n">
        <v>1.6402</v>
      </c>
      <c r="K304" s="21" t="n">
        <v>7.51</v>
      </c>
      <c r="L304" s="21" t="n">
        <v>50</v>
      </c>
      <c r="M304" s="21" t="n">
        <v>69.01</v>
      </c>
      <c r="N304" s="19"/>
    </row>
    <row r="305" customFormat="false" ht="18" hidden="false" customHeight="true" outlineLevel="0" collapsed="false">
      <c r="B305" s="16" t="s">
        <v>656</v>
      </c>
      <c r="C305" s="17" t="s">
        <v>631</v>
      </c>
      <c r="D305" s="18" t="s">
        <v>653</v>
      </c>
      <c r="E305" s="18" t="s">
        <v>638</v>
      </c>
      <c r="F305" s="17" t="s">
        <v>639</v>
      </c>
      <c r="G305" s="18" t="s">
        <v>56</v>
      </c>
      <c r="H305" s="18" t="n">
        <v>4.13</v>
      </c>
      <c r="I305" s="18" t="n">
        <v>80</v>
      </c>
      <c r="J305" s="18" t="n">
        <v>0.7572</v>
      </c>
      <c r="K305" s="18" t="n">
        <v>3.13</v>
      </c>
      <c r="L305" s="18" t="n">
        <v>6.25</v>
      </c>
      <c r="M305" s="18" t="n">
        <v>11.25</v>
      </c>
      <c r="N305" s="16"/>
    </row>
    <row r="306" customFormat="false" ht="18" hidden="false" customHeight="true" outlineLevel="0" collapsed="false">
      <c r="B306" s="19" t="s">
        <v>657</v>
      </c>
      <c r="C306" s="20" t="s">
        <v>39</v>
      </c>
      <c r="D306" s="21" t="s">
        <v>645</v>
      </c>
      <c r="E306" s="21" t="s">
        <v>247</v>
      </c>
      <c r="F306" s="19" t="s">
        <v>245</v>
      </c>
      <c r="G306" s="21" t="s">
        <v>43</v>
      </c>
      <c r="H306" s="21" t="n">
        <v>3.26</v>
      </c>
      <c r="I306" s="21" t="n">
        <v>1000</v>
      </c>
      <c r="J306" s="21" t="n">
        <v>1.1104</v>
      </c>
      <c r="K306" s="21" t="n">
        <v>3.62</v>
      </c>
      <c r="L306" s="21" t="n">
        <v>0.5</v>
      </c>
      <c r="M306" s="21" t="n">
        <v>4.94</v>
      </c>
      <c r="N306" s="19"/>
    </row>
    <row r="307" customFormat="false" ht="18" hidden="false" customHeight="true" outlineLevel="0" collapsed="false">
      <c r="B307" s="16" t="s">
        <v>658</v>
      </c>
      <c r="C307" s="17" t="s">
        <v>39</v>
      </c>
      <c r="D307" s="18" t="s">
        <v>645</v>
      </c>
      <c r="E307" s="18" t="s">
        <v>249</v>
      </c>
      <c r="F307" s="16" t="s">
        <v>245</v>
      </c>
      <c r="G307" s="18" t="s">
        <v>43</v>
      </c>
      <c r="H307" s="18" t="n">
        <v>3.26</v>
      </c>
      <c r="I307" s="18" t="n">
        <v>1000</v>
      </c>
      <c r="J307" s="18" t="n">
        <v>0.6231</v>
      </c>
      <c r="K307" s="18" t="n">
        <v>2.03</v>
      </c>
      <c r="L307" s="18" t="n">
        <v>0.5</v>
      </c>
      <c r="M307" s="18" t="n">
        <v>3.04</v>
      </c>
      <c r="N307" s="16"/>
    </row>
    <row r="308" customFormat="false" ht="18" hidden="false" customHeight="true" outlineLevel="0" collapsed="false">
      <c r="B308" s="19" t="s">
        <v>659</v>
      </c>
      <c r="C308" s="20" t="s">
        <v>39</v>
      </c>
      <c r="D308" s="21" t="s">
        <v>645</v>
      </c>
      <c r="E308" s="21" t="s">
        <v>287</v>
      </c>
      <c r="F308" s="20" t="s">
        <v>283</v>
      </c>
      <c r="G308" s="21" t="s">
        <v>65</v>
      </c>
      <c r="H308" s="21" t="n">
        <v>4.58</v>
      </c>
      <c r="I308" s="21" t="n">
        <v>500</v>
      </c>
      <c r="J308" s="21" t="n">
        <v>0.7952</v>
      </c>
      <c r="K308" s="21" t="n">
        <v>3.64</v>
      </c>
      <c r="L308" s="21" t="n">
        <v>1</v>
      </c>
      <c r="M308" s="21" t="n">
        <v>5.57</v>
      </c>
      <c r="N308" s="19"/>
    </row>
    <row r="309" customFormat="false" ht="18" hidden="false" customHeight="true" outlineLevel="0" collapsed="false">
      <c r="B309" s="16" t="s">
        <v>660</v>
      </c>
      <c r="C309" s="17" t="s">
        <v>39</v>
      </c>
      <c r="D309" s="18" t="s">
        <v>645</v>
      </c>
      <c r="E309" s="18" t="s">
        <v>661</v>
      </c>
      <c r="F309" s="17" t="s">
        <v>283</v>
      </c>
      <c r="G309" s="18" t="s">
        <v>65</v>
      </c>
      <c r="H309" s="18" t="n">
        <v>4.58</v>
      </c>
      <c r="I309" s="18" t="n">
        <v>500</v>
      </c>
      <c r="J309" s="18" t="n">
        <v>1.0905</v>
      </c>
      <c r="K309" s="18" t="n">
        <v>4.99</v>
      </c>
      <c r="L309" s="18" t="n">
        <v>1</v>
      </c>
      <c r="M309" s="18" t="n">
        <v>7.19</v>
      </c>
      <c r="N309" s="16"/>
    </row>
    <row r="310" customFormat="false" ht="18" hidden="false" customHeight="true" outlineLevel="0" collapsed="false">
      <c r="B310" s="19" t="s">
        <v>662</v>
      </c>
      <c r="C310" s="20" t="s">
        <v>39</v>
      </c>
      <c r="D310" s="21" t="s">
        <v>645</v>
      </c>
      <c r="E310" s="21" t="s">
        <v>355</v>
      </c>
      <c r="F310" s="20" t="s">
        <v>283</v>
      </c>
      <c r="G310" s="21" t="s">
        <v>65</v>
      </c>
      <c r="H310" s="21" t="n">
        <v>4.58</v>
      </c>
      <c r="I310" s="21" t="n">
        <v>500</v>
      </c>
      <c r="J310" s="21" t="n">
        <v>1.0292</v>
      </c>
      <c r="K310" s="21" t="n">
        <v>4.71</v>
      </c>
      <c r="L310" s="21" t="n">
        <v>1</v>
      </c>
      <c r="M310" s="21" t="n">
        <v>6.86</v>
      </c>
      <c r="N310" s="19"/>
    </row>
    <row r="311" customFormat="false" ht="18" hidden="false" customHeight="true" outlineLevel="0" collapsed="false">
      <c r="B311" s="16" t="s">
        <v>663</v>
      </c>
      <c r="C311" s="17" t="s">
        <v>39</v>
      </c>
      <c r="D311" s="18" t="s">
        <v>645</v>
      </c>
      <c r="E311" s="18" t="s">
        <v>430</v>
      </c>
      <c r="F311" s="16" t="s">
        <v>245</v>
      </c>
      <c r="G311" s="18" t="s">
        <v>43</v>
      </c>
      <c r="H311" s="18" t="n">
        <v>3.26</v>
      </c>
      <c r="I311" s="18" t="n">
        <v>1000</v>
      </c>
      <c r="J311" s="18" t="n">
        <v>0.68</v>
      </c>
      <c r="K311" s="18" t="n">
        <v>2.22</v>
      </c>
      <c r="L311" s="18" t="n">
        <v>0.5</v>
      </c>
      <c r="M311" s="18" t="n">
        <v>3.26</v>
      </c>
      <c r="N311" s="16"/>
    </row>
    <row r="312" customFormat="false" ht="18" hidden="false" customHeight="true" outlineLevel="0" collapsed="false">
      <c r="B312" s="19" t="s">
        <v>664</v>
      </c>
      <c r="C312" s="20" t="s">
        <v>39</v>
      </c>
      <c r="D312" s="21" t="s">
        <v>645</v>
      </c>
      <c r="E312" s="21" t="s">
        <v>244</v>
      </c>
      <c r="F312" s="19" t="s">
        <v>245</v>
      </c>
      <c r="G312" s="21" t="s">
        <v>43</v>
      </c>
      <c r="H312" s="21" t="n">
        <v>3.26</v>
      </c>
      <c r="I312" s="21" t="n">
        <v>1000</v>
      </c>
      <c r="J312" s="21" t="n">
        <v>0.9246</v>
      </c>
      <c r="K312" s="21" t="n">
        <v>3.01</v>
      </c>
      <c r="L312" s="21" t="n">
        <v>0.5</v>
      </c>
      <c r="M312" s="21" t="n">
        <v>4.22</v>
      </c>
      <c r="N312" s="19"/>
    </row>
    <row r="313" customFormat="false" ht="18" hidden="false" customHeight="true" outlineLevel="0" collapsed="false">
      <c r="B313" s="16" t="s">
        <v>665</v>
      </c>
      <c r="C313" s="17" t="s">
        <v>39</v>
      </c>
      <c r="D313" s="18" t="s">
        <v>645</v>
      </c>
      <c r="E313" s="18" t="s">
        <v>666</v>
      </c>
      <c r="F313" s="16" t="s">
        <v>245</v>
      </c>
      <c r="G313" s="18" t="s">
        <v>43</v>
      </c>
      <c r="H313" s="18" t="n">
        <v>3.26</v>
      </c>
      <c r="I313" s="18" t="n">
        <v>1000</v>
      </c>
      <c r="J313" s="18" t="n">
        <v>0.7209</v>
      </c>
      <c r="K313" s="18" t="n">
        <v>2.35</v>
      </c>
      <c r="L313" s="18" t="n">
        <v>0.5</v>
      </c>
      <c r="M313" s="18" t="n">
        <v>3.42</v>
      </c>
      <c r="N313" s="16"/>
    </row>
    <row r="314" customFormat="false" ht="18" hidden="false" customHeight="true" outlineLevel="0" collapsed="false">
      <c r="B314" s="19" t="s">
        <v>667</v>
      </c>
      <c r="C314" s="20" t="s">
        <v>668</v>
      </c>
      <c r="D314" s="21" t="s">
        <v>643</v>
      </c>
      <c r="E314" s="21" t="s">
        <v>669</v>
      </c>
      <c r="F314" s="20" t="s">
        <v>670</v>
      </c>
      <c r="G314" s="21" t="s">
        <v>56</v>
      </c>
      <c r="H314" s="21" t="n">
        <v>4.13</v>
      </c>
      <c r="I314" s="21" t="n">
        <v>530</v>
      </c>
      <c r="J314" s="21" t="n">
        <v>0.7226</v>
      </c>
      <c r="K314" s="21" t="n">
        <v>2.98</v>
      </c>
      <c r="L314" s="21" t="n">
        <v>0.94</v>
      </c>
      <c r="M314" s="21" t="n">
        <v>4.71</v>
      </c>
      <c r="N314" s="19"/>
    </row>
    <row r="315" customFormat="false" ht="18" hidden="false" customHeight="true" outlineLevel="0" collapsed="false">
      <c r="B315" s="16" t="s">
        <v>671</v>
      </c>
      <c r="C315" s="17" t="s">
        <v>146</v>
      </c>
      <c r="D315" s="18" t="s">
        <v>672</v>
      </c>
      <c r="E315" s="18" t="s">
        <v>673</v>
      </c>
      <c r="F315" s="17" t="s">
        <v>190</v>
      </c>
      <c r="G315" s="18" t="s">
        <v>43</v>
      </c>
      <c r="H315" s="18" t="n">
        <v>3.26</v>
      </c>
      <c r="I315" s="18" t="n">
        <v>320</v>
      </c>
      <c r="J315" s="18" t="n">
        <v>0.3362</v>
      </c>
      <c r="K315" s="18" t="n">
        <v>1.1</v>
      </c>
      <c r="L315" s="18" t="n">
        <v>1.56</v>
      </c>
      <c r="M315" s="18" t="n">
        <v>3.19</v>
      </c>
      <c r="N315" s="16"/>
    </row>
    <row r="316" customFormat="false" ht="18" hidden="false" customHeight="true" outlineLevel="0" collapsed="false">
      <c r="B316" s="19" t="s">
        <v>674</v>
      </c>
      <c r="C316" s="20" t="s">
        <v>146</v>
      </c>
      <c r="D316" s="21" t="s">
        <v>672</v>
      </c>
      <c r="E316" s="21" t="s">
        <v>675</v>
      </c>
      <c r="F316" s="20" t="s">
        <v>190</v>
      </c>
      <c r="G316" s="21" t="s">
        <v>43</v>
      </c>
      <c r="H316" s="21" t="n">
        <v>3.26</v>
      </c>
      <c r="I316" s="21" t="n">
        <v>520</v>
      </c>
      <c r="J316" s="21" t="n">
        <v>0.308</v>
      </c>
      <c r="K316" s="21" t="n">
        <v>1</v>
      </c>
      <c r="L316" s="21" t="n">
        <v>0.96</v>
      </c>
      <c r="M316" s="21" t="n">
        <v>2.36</v>
      </c>
      <c r="N316" s="19"/>
    </row>
    <row r="317" customFormat="false" ht="18" hidden="false" customHeight="true" outlineLevel="0" collapsed="false">
      <c r="B317" s="16" t="s">
        <v>676</v>
      </c>
      <c r="C317" s="17" t="s">
        <v>133</v>
      </c>
      <c r="D317" s="18" t="s">
        <v>677</v>
      </c>
      <c r="E317" s="18" t="s">
        <v>613</v>
      </c>
      <c r="F317" s="16" t="s">
        <v>614</v>
      </c>
      <c r="G317" s="18" t="s">
        <v>49</v>
      </c>
      <c r="H317" s="18"/>
      <c r="I317" s="18" t="n">
        <v>100</v>
      </c>
      <c r="J317" s="18"/>
      <c r="K317" s="18"/>
      <c r="L317" s="18" t="n">
        <v>5</v>
      </c>
      <c r="M317" s="18" t="s">
        <v>49</v>
      </c>
      <c r="N317" s="16" t="s">
        <v>81</v>
      </c>
    </row>
    <row r="318" customFormat="false" ht="18" hidden="false" customHeight="true" outlineLevel="0" collapsed="false">
      <c r="B318" s="19" t="s">
        <v>678</v>
      </c>
      <c r="C318" s="20" t="s">
        <v>133</v>
      </c>
      <c r="D318" s="21" t="s">
        <v>677</v>
      </c>
      <c r="E318" s="21" t="s">
        <v>616</v>
      </c>
      <c r="F318" s="20" t="s">
        <v>229</v>
      </c>
      <c r="G318" s="21" t="s">
        <v>56</v>
      </c>
      <c r="H318" s="21" t="n">
        <v>4.13</v>
      </c>
      <c r="I318" s="21" t="n">
        <v>200</v>
      </c>
      <c r="J318" s="21"/>
      <c r="K318" s="21"/>
      <c r="L318" s="21" t="n">
        <v>2.5</v>
      </c>
      <c r="M318" s="21" t="s">
        <v>49</v>
      </c>
      <c r="N318" s="19" t="s">
        <v>50</v>
      </c>
    </row>
    <row r="319" customFormat="false" ht="18" hidden="false" customHeight="true" outlineLevel="0" collapsed="false">
      <c r="B319" s="16" t="s">
        <v>679</v>
      </c>
      <c r="C319" s="17" t="s">
        <v>680</v>
      </c>
      <c r="D319" s="18" t="s">
        <v>681</v>
      </c>
      <c r="E319" s="18" t="s">
        <v>682</v>
      </c>
      <c r="F319" s="17" t="s">
        <v>94</v>
      </c>
      <c r="G319" s="18" t="s">
        <v>65</v>
      </c>
      <c r="H319" s="18" t="n">
        <v>4.58</v>
      </c>
      <c r="I319" s="18" t="n">
        <v>480</v>
      </c>
      <c r="J319" s="18"/>
      <c r="K319" s="18"/>
      <c r="L319" s="18" t="n">
        <v>1.04</v>
      </c>
      <c r="M319" s="18" t="s">
        <v>49</v>
      </c>
      <c r="N319" s="16" t="s">
        <v>50</v>
      </c>
    </row>
    <row r="320" customFormat="false" ht="18" hidden="false" customHeight="true" outlineLevel="0" collapsed="false">
      <c r="B320" s="19" t="s">
        <v>683</v>
      </c>
      <c r="C320" s="20" t="s">
        <v>680</v>
      </c>
      <c r="D320" s="21" t="s">
        <v>681</v>
      </c>
      <c r="E320" s="21" t="s">
        <v>684</v>
      </c>
      <c r="F320" s="19"/>
      <c r="G320" s="21"/>
      <c r="H320" s="21"/>
      <c r="I320" s="21" t="n">
        <v>1000</v>
      </c>
      <c r="J320" s="21"/>
      <c r="K320" s="21"/>
      <c r="L320" s="21" t="n">
        <v>0.5</v>
      </c>
      <c r="M320" s="21" t="s">
        <v>49</v>
      </c>
      <c r="N320" s="19" t="s">
        <v>50</v>
      </c>
    </row>
    <row r="321" customFormat="false" ht="18" hidden="false" customHeight="true" outlineLevel="0" collapsed="false">
      <c r="B321" s="16" t="s">
        <v>685</v>
      </c>
      <c r="C321" s="17" t="s">
        <v>451</v>
      </c>
      <c r="D321" s="18" t="s">
        <v>686</v>
      </c>
      <c r="E321" s="18" t="s">
        <v>452</v>
      </c>
      <c r="F321" s="17" t="s">
        <v>118</v>
      </c>
      <c r="G321" s="18" t="s">
        <v>56</v>
      </c>
      <c r="H321" s="18" t="n">
        <v>4.13</v>
      </c>
      <c r="I321" s="18" t="n">
        <v>720</v>
      </c>
      <c r="J321" s="18" t="n">
        <v>1.7568</v>
      </c>
      <c r="K321" s="18" t="n">
        <v>7.26</v>
      </c>
      <c r="L321" s="18" t="n">
        <v>0.69</v>
      </c>
      <c r="M321" s="18" t="n">
        <v>9.54</v>
      </c>
      <c r="N321" s="16"/>
    </row>
    <row r="322" customFormat="false" ht="18" hidden="false" customHeight="true" outlineLevel="0" collapsed="false">
      <c r="B322" s="19" t="s">
        <v>687</v>
      </c>
      <c r="C322" s="20" t="s">
        <v>451</v>
      </c>
      <c r="D322" s="21" t="s">
        <v>686</v>
      </c>
      <c r="E322" s="21" t="s">
        <v>454</v>
      </c>
      <c r="F322" s="20" t="s">
        <v>118</v>
      </c>
      <c r="G322" s="21" t="s">
        <v>56</v>
      </c>
      <c r="H322" s="21" t="n">
        <v>4.13</v>
      </c>
      <c r="I322" s="21" t="n">
        <v>720</v>
      </c>
      <c r="J322" s="21" t="n">
        <v>1.606</v>
      </c>
      <c r="K322" s="21" t="n">
        <v>6.63</v>
      </c>
      <c r="L322" s="21" t="n">
        <v>0.69</v>
      </c>
      <c r="M322" s="21" t="n">
        <v>8.79</v>
      </c>
      <c r="N322" s="19"/>
    </row>
    <row r="323" customFormat="false" ht="18" hidden="false" customHeight="true" outlineLevel="0" collapsed="false">
      <c r="B323" s="16" t="s">
        <v>676</v>
      </c>
      <c r="C323" s="17" t="s">
        <v>133</v>
      </c>
      <c r="D323" s="18" t="s">
        <v>677</v>
      </c>
      <c r="E323" s="18" t="s">
        <v>613</v>
      </c>
      <c r="F323" s="16" t="s">
        <v>614</v>
      </c>
      <c r="G323" s="18" t="s">
        <v>49</v>
      </c>
      <c r="H323" s="18"/>
      <c r="I323" s="18" t="n">
        <v>100</v>
      </c>
      <c r="J323" s="18"/>
      <c r="K323" s="18"/>
      <c r="L323" s="18" t="n">
        <v>5</v>
      </c>
      <c r="M323" s="18" t="s">
        <v>49</v>
      </c>
      <c r="N323" s="16" t="s">
        <v>81</v>
      </c>
    </row>
    <row r="324" customFormat="false" ht="18" hidden="false" customHeight="true" outlineLevel="0" collapsed="false">
      <c r="B324" s="19" t="s">
        <v>688</v>
      </c>
      <c r="C324" s="20" t="s">
        <v>137</v>
      </c>
      <c r="D324" s="21" t="s">
        <v>689</v>
      </c>
      <c r="E324" s="21" t="s">
        <v>336</v>
      </c>
      <c r="F324" s="19"/>
      <c r="G324" s="21"/>
      <c r="H324" s="21"/>
      <c r="I324" s="21" t="n">
        <v>10000</v>
      </c>
      <c r="J324" s="21"/>
      <c r="K324" s="21"/>
      <c r="L324" s="21" t="n">
        <v>0.05</v>
      </c>
      <c r="M324" s="21" t="s">
        <v>49</v>
      </c>
      <c r="N324" s="19" t="s">
        <v>50</v>
      </c>
    </row>
    <row r="325" customFormat="false" ht="18" hidden="false" customHeight="true" outlineLevel="0" collapsed="false">
      <c r="B325" s="16" t="s">
        <v>690</v>
      </c>
      <c r="C325" s="17" t="s">
        <v>137</v>
      </c>
      <c r="D325" s="18" t="s">
        <v>689</v>
      </c>
      <c r="E325" s="18" t="s">
        <v>162</v>
      </c>
      <c r="F325" s="16"/>
      <c r="G325" s="18"/>
      <c r="H325" s="18"/>
      <c r="I325" s="18" t="n">
        <v>791</v>
      </c>
      <c r="J325" s="18"/>
      <c r="K325" s="18"/>
      <c r="L325" s="18" t="n">
        <v>0.63</v>
      </c>
      <c r="M325" s="18" t="s">
        <v>49</v>
      </c>
      <c r="N325" s="16" t="s">
        <v>50</v>
      </c>
    </row>
    <row r="326" customFormat="false" ht="18" hidden="false" customHeight="true" outlineLevel="0" collapsed="false">
      <c r="B326" s="19" t="s">
        <v>691</v>
      </c>
      <c r="C326" s="20" t="s">
        <v>137</v>
      </c>
      <c r="D326" s="21" t="s">
        <v>689</v>
      </c>
      <c r="E326" s="21" t="s">
        <v>138</v>
      </c>
      <c r="F326" s="19"/>
      <c r="G326" s="21"/>
      <c r="H326" s="21"/>
      <c r="I326" s="21" t="n">
        <v>6904</v>
      </c>
      <c r="J326" s="21"/>
      <c r="K326" s="21"/>
      <c r="L326" s="21" t="n">
        <v>0.07</v>
      </c>
      <c r="M326" s="21" t="s">
        <v>49</v>
      </c>
      <c r="N326" s="19" t="s">
        <v>50</v>
      </c>
    </row>
    <row r="327" customFormat="false" ht="18" hidden="false" customHeight="true" outlineLevel="0" collapsed="false">
      <c r="B327" s="16" t="s">
        <v>692</v>
      </c>
      <c r="C327" s="17" t="s">
        <v>137</v>
      </c>
      <c r="D327" s="18" t="s">
        <v>689</v>
      </c>
      <c r="E327" s="18" t="s">
        <v>140</v>
      </c>
      <c r="F327" s="16"/>
      <c r="G327" s="18"/>
      <c r="H327" s="18"/>
      <c r="I327" s="18" t="n">
        <v>3450</v>
      </c>
      <c r="J327" s="18"/>
      <c r="K327" s="18"/>
      <c r="L327" s="18" t="n">
        <v>0.14</v>
      </c>
      <c r="M327" s="18" t="s">
        <v>49</v>
      </c>
      <c r="N327" s="16" t="s">
        <v>50</v>
      </c>
    </row>
    <row r="328" customFormat="false" ht="18" hidden="false" customHeight="true" outlineLevel="0" collapsed="false">
      <c r="B328" s="19" t="s">
        <v>693</v>
      </c>
      <c r="C328" s="20" t="s">
        <v>137</v>
      </c>
      <c r="D328" s="21" t="s">
        <v>689</v>
      </c>
      <c r="E328" s="21" t="s">
        <v>142</v>
      </c>
      <c r="F328" s="19"/>
      <c r="G328" s="21"/>
      <c r="H328" s="21"/>
      <c r="I328" s="21" t="n">
        <v>1944</v>
      </c>
      <c r="J328" s="21"/>
      <c r="K328" s="21"/>
      <c r="L328" s="21" t="n">
        <v>0.26</v>
      </c>
      <c r="M328" s="21" t="s">
        <v>49</v>
      </c>
      <c r="N328" s="19" t="s">
        <v>50</v>
      </c>
    </row>
    <row r="329" customFormat="false" ht="18" hidden="false" customHeight="true" outlineLevel="0" collapsed="false">
      <c r="B329" s="16" t="s">
        <v>694</v>
      </c>
      <c r="C329" s="17" t="s">
        <v>137</v>
      </c>
      <c r="D329" s="18" t="s">
        <v>689</v>
      </c>
      <c r="E329" s="18" t="s">
        <v>144</v>
      </c>
      <c r="F329" s="16"/>
      <c r="G329" s="18"/>
      <c r="H329" s="18"/>
      <c r="I329" s="18" t="n">
        <v>1946</v>
      </c>
      <c r="J329" s="18"/>
      <c r="K329" s="18"/>
      <c r="L329" s="18" t="n">
        <v>0.26</v>
      </c>
      <c r="M329" s="18" t="s">
        <v>49</v>
      </c>
      <c r="N329" s="16" t="s">
        <v>50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B1" s="14" t="s">
        <v>695</v>
      </c>
      <c r="C1" s="14"/>
      <c r="D1" s="14"/>
      <c r="E1" s="14"/>
      <c r="F1" s="14"/>
      <c r="G1" s="14"/>
    </row>
    <row r="2" customFormat="false" ht="21.75" hidden="false" customHeight="true" outlineLevel="0" collapsed="false">
      <c r="B2" s="24" t="s">
        <v>696</v>
      </c>
      <c r="C2" s="24" t="s">
        <v>697</v>
      </c>
      <c r="D2" s="24" t="s">
        <v>698</v>
      </c>
    </row>
    <row r="3" customFormat="false" ht="21.75" hidden="false" customHeight="true" outlineLevel="0" collapsed="false">
      <c r="B3" s="25" t="s">
        <v>699</v>
      </c>
      <c r="C3" s="26" t="n">
        <v>3.26</v>
      </c>
      <c r="D3" s="27" t="s">
        <v>700</v>
      </c>
    </row>
    <row r="4" customFormat="false" ht="21.75" hidden="false" customHeight="true" outlineLevel="0" collapsed="false">
      <c r="B4" s="25" t="s">
        <v>56</v>
      </c>
      <c r="C4" s="26" t="n">
        <v>4.13</v>
      </c>
      <c r="D4" s="28" t="s">
        <v>701</v>
      </c>
    </row>
    <row r="5" customFormat="false" ht="21.75" hidden="false" customHeight="true" outlineLevel="0" collapsed="false">
      <c r="B5" s="25" t="s">
        <v>20</v>
      </c>
      <c r="C5" s="26" t="n">
        <v>4.58</v>
      </c>
      <c r="D5" s="27" t="s">
        <v>702</v>
      </c>
    </row>
    <row r="6" customFormat="false" ht="21.75" hidden="false" customHeight="true" outlineLevel="0" collapsed="false">
      <c r="B6" s="25" t="s">
        <v>703</v>
      </c>
      <c r="C6" s="26" t="n">
        <v>5.23</v>
      </c>
      <c r="D6" s="28" t="s">
        <v>704</v>
      </c>
    </row>
    <row r="8" customFormat="false" ht="21.75" hidden="false" customHeight="true" outlineLevel="0" collapsed="false">
      <c r="B8" s="29" t="s">
        <v>705</v>
      </c>
    </row>
    <row r="9" customFormat="false" ht="21.75" hidden="false" customHeight="true" outlineLevel="0" collapsed="false">
      <c r="B9" s="30" t="s">
        <v>706</v>
      </c>
    </row>
    <row r="10" customFormat="false" ht="21.75" hidden="false" customHeight="true" outlineLevel="0" collapsed="false">
      <c r="B10" s="31" t="s">
        <v>707</v>
      </c>
    </row>
    <row r="13" customFormat="false" ht="24" hidden="false" customHeight="true" outlineLevel="0" collapsed="false">
      <c r="B13" s="3" t="s">
        <v>708</v>
      </c>
      <c r="C13" s="3"/>
      <c r="D13" s="3"/>
      <c r="E13" s="3"/>
      <c r="F13" s="3"/>
      <c r="G13" s="3"/>
    </row>
    <row r="14" customFormat="false" ht="33.75" hidden="false" customHeight="true" outlineLevel="0" collapsed="false">
      <c r="B14" s="32" t="s">
        <v>709</v>
      </c>
      <c r="C14" s="32" t="s">
        <v>710</v>
      </c>
      <c r="D14" s="32" t="s">
        <v>711</v>
      </c>
      <c r="E14" s="32" t="s">
        <v>712</v>
      </c>
      <c r="F14" s="32" t="s">
        <v>713</v>
      </c>
      <c r="G14" s="32" t="s">
        <v>714</v>
      </c>
    </row>
    <row r="15" customFormat="false" ht="19.5" hidden="false" customHeight="true" outlineLevel="0" collapsed="false">
      <c r="B15" s="33" t="s">
        <v>715</v>
      </c>
      <c r="C15" s="33" t="n">
        <v>12</v>
      </c>
      <c r="D15" s="34" t="n">
        <v>83.72</v>
      </c>
      <c r="E15" s="33" t="s">
        <v>716</v>
      </c>
      <c r="F15" s="35" t="n">
        <v>0.35</v>
      </c>
      <c r="G15" s="33" t="s">
        <v>717</v>
      </c>
    </row>
    <row r="16" customFormat="false" ht="19.5" hidden="false" customHeight="true" outlineLevel="0" collapsed="false">
      <c r="B16" s="36" t="s">
        <v>718</v>
      </c>
      <c r="C16" s="36" t="n">
        <v>8</v>
      </c>
      <c r="D16" s="37" t="n">
        <v>9.69</v>
      </c>
      <c r="E16" s="36" t="s">
        <v>719</v>
      </c>
      <c r="F16" s="35" t="n">
        <v>0.28</v>
      </c>
      <c r="G16" s="36" t="s">
        <v>720</v>
      </c>
    </row>
    <row r="17" customFormat="false" ht="19.5" hidden="false" customHeight="true" outlineLevel="0" collapsed="false">
      <c r="B17" s="33" t="s">
        <v>721</v>
      </c>
      <c r="C17" s="33" t="n">
        <v>41</v>
      </c>
      <c r="D17" s="34" t="n">
        <v>5.16</v>
      </c>
      <c r="E17" s="33" t="s">
        <v>722</v>
      </c>
      <c r="F17" s="35" t="n">
        <v>0.21</v>
      </c>
      <c r="G17" s="33" t="s">
        <v>723</v>
      </c>
    </row>
    <row r="18" customFormat="false" ht="19.5" hidden="false" customHeight="true" outlineLevel="0" collapsed="false">
      <c r="B18" s="36" t="s">
        <v>724</v>
      </c>
      <c r="C18" s="36" t="n">
        <v>75</v>
      </c>
      <c r="D18" s="37" t="n">
        <v>3.48</v>
      </c>
      <c r="E18" s="36" t="s">
        <v>725</v>
      </c>
      <c r="F18" s="35" t="n">
        <v>0.18</v>
      </c>
      <c r="G18" s="36" t="s">
        <v>726</v>
      </c>
    </row>
    <row r="19" customFormat="false" ht="19.5" hidden="false" customHeight="true" outlineLevel="0" collapsed="false">
      <c r="B19" s="33" t="s">
        <v>727</v>
      </c>
      <c r="C19" s="33" t="n">
        <v>15</v>
      </c>
      <c r="D19" s="34" t="n">
        <v>2.97</v>
      </c>
      <c r="E19" s="33" t="s">
        <v>728</v>
      </c>
      <c r="F19" s="35" t="n">
        <v>0.14</v>
      </c>
      <c r="G19" s="33" t="s">
        <v>729</v>
      </c>
    </row>
    <row r="21" customFormat="false" ht="30" hidden="false" customHeight="true" outlineLevel="0" collapsed="false">
      <c r="B21" s="38" t="s">
        <v>730</v>
      </c>
    </row>
  </sheetData>
  <mergeCells count="2">
    <mergeCell ref="B1:G1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2026-06-08T06:36:34Z</dcterms:created>
  <dc:creator>openpyxl</dc:creator>
  <dc:description/>
  <dc:language>en-US</dc:language>
  <cp:lastModifiedBy/>
  <dcterms:modified xsi:type="dcterms:W3CDTF">2026-06-08T06:36:34Z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